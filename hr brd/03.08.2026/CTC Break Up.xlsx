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652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Y39" i="1" l="1"/>
  <c r="AN38" i="1"/>
  <c r="AM33" i="1"/>
  <c r="E32" i="1"/>
  <c r="AY31" i="1"/>
  <c r="D29" i="1"/>
  <c r="E29" i="1" s="1"/>
  <c r="D28" i="1"/>
  <c r="E28" i="1" s="1"/>
  <c r="Z27" i="1"/>
  <c r="J27" i="1"/>
  <c r="I25" i="1"/>
  <c r="J25" i="1" s="1"/>
  <c r="D25" i="1"/>
  <c r="F25" i="1" s="1"/>
  <c r="CG24" i="1"/>
  <c r="BQ24" i="1"/>
  <c r="BR24" i="1" s="1"/>
  <c r="H24" i="1"/>
  <c r="E23" i="1"/>
  <c r="E22" i="1"/>
  <c r="E21" i="1"/>
  <c r="E20" i="1"/>
  <c r="D19" i="1"/>
  <c r="D24" i="1" s="1"/>
  <c r="CJ18" i="1"/>
  <c r="CJ20" i="1" s="1"/>
  <c r="CK20" i="1" s="1"/>
  <c r="BS18" i="1"/>
  <c r="BT18" i="1" s="1"/>
  <c r="E18" i="1"/>
  <c r="CM17" i="1"/>
  <c r="CM19" i="1" s="1"/>
  <c r="CN19" i="1" s="1"/>
  <c r="CE17" i="1"/>
  <c r="CC17" i="1"/>
  <c r="CD17" i="1" s="1"/>
  <c r="BJ17" i="1"/>
  <c r="BU17" i="1" s="1"/>
  <c r="BV17" i="1" s="1"/>
  <c r="BG17" i="1"/>
  <c r="BH17" i="1" s="1"/>
  <c r="L17" i="1"/>
  <c r="M17" i="1" s="1"/>
  <c r="I17" i="1"/>
  <c r="E17" i="1"/>
  <c r="CF16" i="1"/>
  <c r="BL16" i="1"/>
  <c r="BM16" i="1" s="1"/>
  <c r="F16" i="1"/>
  <c r="E16" i="1"/>
  <c r="BY15" i="1"/>
  <c r="E15" i="1"/>
  <c r="D14" i="1"/>
  <c r="E14" i="1" s="1"/>
  <c r="AJ13" i="1"/>
  <c r="D13" i="1"/>
  <c r="E13" i="1" s="1"/>
  <c r="AJ12" i="1"/>
  <c r="AJ14" i="1" s="1"/>
  <c r="D12" i="1"/>
  <c r="BE18" i="1" s="1"/>
  <c r="BW11" i="1"/>
  <c r="BX11" i="1" s="1"/>
  <c r="BY11" i="1" s="1"/>
  <c r="AJ11" i="1"/>
  <c r="D11" i="1"/>
  <c r="E11" i="1" s="1"/>
  <c r="AU10" i="1"/>
  <c r="D10" i="1"/>
  <c r="D31" i="1" s="1"/>
  <c r="E31" i="1" s="1"/>
  <c r="BI8" i="1"/>
  <c r="BH9" i="1" s="1"/>
  <c r="CK18" i="1" l="1"/>
  <c r="E10" i="1"/>
  <c r="E19" i="1"/>
  <c r="Q10" i="1"/>
  <c r="S10" i="1" s="1"/>
  <c r="AI17" i="1"/>
  <c r="BF19" i="1"/>
  <c r="Y10" i="1"/>
  <c r="AK10" i="1"/>
  <c r="AK11" i="1" s="1"/>
  <c r="AJ15" i="1"/>
  <c r="D26" i="1"/>
  <c r="AI24" i="1"/>
  <c r="E24" i="1"/>
  <c r="E25" i="1"/>
  <c r="AK18" i="1"/>
  <c r="BN17" i="1"/>
  <c r="BN18" i="1" s="1"/>
  <c r="BN19" i="1" s="1"/>
  <c r="BJ25" i="1"/>
  <c r="BG20" i="1"/>
  <c r="BG21" i="1" s="1"/>
  <c r="BY25" i="1"/>
  <c r="D30" i="1"/>
  <c r="E30" i="1" s="1"/>
  <c r="BW13" i="1"/>
  <c r="BW17" i="1" s="1"/>
  <c r="CE25" i="1"/>
  <c r="CF25" i="1"/>
  <c r="E12" i="1"/>
  <c r="AK17" i="1"/>
  <c r="AH18" i="1"/>
  <c r="E26" i="1" l="1"/>
  <c r="D33" i="1"/>
  <c r="G33" i="1" s="1"/>
  <c r="E33" i="1"/>
  <c r="M33" i="1" s="1"/>
  <c r="N33" i="1" s="1"/>
</calcChain>
</file>

<file path=xl/sharedStrings.xml><?xml version="1.0" encoding="utf-8"?>
<sst xmlns="http://schemas.openxmlformats.org/spreadsheetml/2006/main" count="51" uniqueCount="51">
  <si>
    <t>Annexure - I  CTC Break Up</t>
  </si>
  <si>
    <t xml:space="preserve">Financial Year - 2025 to 2026                         </t>
  </si>
  <si>
    <t>Name:</t>
  </si>
  <si>
    <t>Mr.Balasubramanian P</t>
  </si>
  <si>
    <t>Emp.Code</t>
  </si>
  <si>
    <t>New</t>
  </si>
  <si>
    <t>Designation:</t>
  </si>
  <si>
    <t xml:space="preserve">Sr.Executive </t>
  </si>
  <si>
    <t xml:space="preserve">Department: </t>
  </si>
  <si>
    <t>HR &amp; Admin</t>
  </si>
  <si>
    <t xml:space="preserve">D.O.J </t>
  </si>
  <si>
    <t xml:space="preserve">Component </t>
  </si>
  <si>
    <t>Per Month</t>
  </si>
  <si>
    <t>Per Annum</t>
  </si>
  <si>
    <t>A</t>
  </si>
  <si>
    <t>Salary Break up</t>
  </si>
  <si>
    <t xml:space="preserve"> Basic </t>
  </si>
  <si>
    <t xml:space="preserve"> House Rent Allowance </t>
  </si>
  <si>
    <t xml:space="preserve"> Leave Travel Allowance </t>
  </si>
  <si>
    <t xml:space="preserve"> Medical Reimbursement </t>
  </si>
  <si>
    <t xml:space="preserve"> Education Allowance </t>
  </si>
  <si>
    <t>Additional HRA</t>
  </si>
  <si>
    <t>Gross Exclude AHRA</t>
  </si>
  <si>
    <t>Monthly Gross Salary</t>
  </si>
  <si>
    <t>PF Deduction Wages</t>
  </si>
  <si>
    <t xml:space="preserve">PF Deduction </t>
  </si>
  <si>
    <t xml:space="preserve">ESI Deduction </t>
  </si>
  <si>
    <t>Professionl Tax</t>
  </si>
  <si>
    <t xml:space="preserve">Canteen Deduction </t>
  </si>
  <si>
    <t>TDS ( Approximate)</t>
  </si>
  <si>
    <t xml:space="preserve">Net Salary </t>
  </si>
  <si>
    <t>Monthly Performance Incentives</t>
  </si>
  <si>
    <t>Total Net Salary with Incentives</t>
  </si>
  <si>
    <t>B</t>
  </si>
  <si>
    <t>Employer Contribution</t>
  </si>
  <si>
    <t>dm</t>
  </si>
  <si>
    <t>Provident Fund</t>
  </si>
  <si>
    <t>50 to 70</t>
  </si>
  <si>
    <t>ESI</t>
  </si>
  <si>
    <t>Gratuity***</t>
  </si>
  <si>
    <t>Bonus</t>
  </si>
  <si>
    <t>50tob70</t>
  </si>
  <si>
    <t>Mediclaim Insurance</t>
  </si>
  <si>
    <t>C</t>
  </si>
  <si>
    <t>Salary Annual CTC</t>
  </si>
  <si>
    <t>Note:</t>
  </si>
  <si>
    <t>3*1600</t>
  </si>
  <si>
    <t xml:space="preserve">1) You will be eligible to get other benefits as per the company policy/norms (Such as Personal Accident policy/Group Mediclaim Policy, Others etc.) provided in time to time as per the management discretion and offer to your employment category. Performance Incentives is calculated based on your monthly KPI result .  </t>
  </si>
  <si>
    <t xml:space="preserve">                             For Kun Aerospace Pvt Ltd,</t>
  </si>
  <si>
    <t xml:space="preserve">                                    K.Ganesh</t>
  </si>
  <si>
    <t xml:space="preserve">                                    Manager - HR &amp;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</si>
</sst>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sz val="11"/>
      <color theme="1"/>
      <name val="Calibri"/>
      <family val="2"/>
      <scheme val="minor"/>
    </font>
    <font>
      <b/>
      <sz val="11"/>
      <color theme="1"/>
      <name val="Calibri"/>
      <family val="2"/>
      <scheme val="minor"/>
    </font>
    <font>
      <b/>
      <sz val="12"/>
      <color rgb="FF000000"/>
      <name val="Cambria"/>
      <family val="1"/>
    </font>
    <font>
      <sz val="12"/>
      <color rgb="FF000000"/>
      <name val="Cambria"/>
      <family val="1"/>
    </font>
    <font>
      <sz val="12"/>
      <color theme="1"/>
      <name val="Cambria"/>
      <family val="1"/>
    </font>
    <font>
      <b/>
      <sz val="12"/>
      <color theme="1"/>
      <name val="Cambria"/>
      <family val="1"/>
    </font>
  </fonts>
  <fills count="5">
    <fill>
      <patternFill patternType="none"/>
    </fill>
    <fill>
      <patternFill patternType="gray125"/>
    </fill>
    <fill>
      <patternFill patternType="solid">
        <fgColor rgb="FFD9D9D9"/>
        <bgColor indexed="64"/>
      </patternFill>
    </fill>
    <fill>
      <patternFill patternType="solid">
        <fgColor rgb="FFFFFFFF"/>
        <bgColor indexed="64"/>
      </patternFill>
    </fill>
    <fill>
      <patternFill patternType="solid">
        <fgColor theme="2" tint="-9.9978637043366805E-2"/>
        <bgColor indexed="64"/>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01">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9" xfId="0" applyFont="1" applyFill="1" applyBorder="1" applyAlignment="1">
      <alignment horizontal="left" vertical="center"/>
    </xf>
    <xf numFmtId="0" fontId="2" fillId="3" borderId="10" xfId="0" applyFont="1" applyFill="1" applyBorder="1" applyAlignment="1">
      <alignment horizontal="justify" vertical="center"/>
    </xf>
    <xf numFmtId="0" fontId="2" fillId="3" borderId="2" xfId="0" applyFont="1" applyFill="1" applyBorder="1" applyAlignment="1">
      <alignment horizontal="justify" vertical="center"/>
    </xf>
    <xf numFmtId="0" fontId="2" fillId="3" borderId="3" xfId="0" applyFont="1" applyFill="1" applyBorder="1" applyAlignment="1">
      <alignment horizontal="justify" vertical="center"/>
    </xf>
    <xf numFmtId="0" fontId="2" fillId="3" borderId="0" xfId="0" quotePrefix="1" applyFont="1" applyFill="1" applyBorder="1" applyAlignment="1">
      <alignment horizontal="justify" vertical="center"/>
    </xf>
    <xf numFmtId="0" fontId="2" fillId="3" borderId="0" xfId="0" applyFont="1" applyFill="1" applyBorder="1" applyAlignment="1">
      <alignment horizontal="justify" vertical="center"/>
    </xf>
    <xf numFmtId="0" fontId="2" fillId="3" borderId="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0" xfId="0" applyFont="1" applyFill="1" applyBorder="1" applyAlignment="1">
      <alignment horizontal="justify" vertical="center"/>
    </xf>
    <xf numFmtId="0" fontId="2" fillId="3" borderId="11" xfId="0" applyFont="1" applyFill="1" applyBorder="1" applyAlignment="1">
      <alignment horizontal="justify" vertical="center"/>
    </xf>
    <xf numFmtId="0" fontId="2" fillId="3" borderId="5" xfId="0" applyFont="1" applyFill="1" applyBorder="1" applyAlignment="1">
      <alignment horizontal="justify" vertical="center"/>
    </xf>
    <xf numFmtId="0" fontId="2" fillId="3" borderId="5" xfId="0" applyFont="1" applyFill="1" applyBorder="1" applyAlignment="1">
      <alignment horizontal="justify" vertical="center"/>
    </xf>
    <xf numFmtId="14" fontId="2" fillId="3" borderId="6" xfId="0" applyNumberFormat="1" applyFont="1" applyFill="1" applyBorder="1" applyAlignment="1">
      <alignment horizontal="justify" vertical="center"/>
    </xf>
    <xf numFmtId="0" fontId="2" fillId="2" borderId="12" xfId="0" applyFont="1" applyFill="1" applyBorder="1" applyAlignment="1">
      <alignment horizontal="justify" vertical="center"/>
    </xf>
    <xf numFmtId="0" fontId="2" fillId="2" borderId="7" xfId="0" applyFont="1" applyFill="1" applyBorder="1" applyAlignment="1">
      <alignment horizontal="justify" vertical="center"/>
    </xf>
    <xf numFmtId="0" fontId="2" fillId="2" borderId="9" xfId="0" applyFont="1" applyFill="1" applyBorder="1" applyAlignment="1">
      <alignment horizontal="justify" vertical="center"/>
    </xf>
    <xf numFmtId="0" fontId="2" fillId="2" borderId="7"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3" fillId="0" borderId="13" xfId="0" applyFont="1" applyBorder="1" applyAlignment="1">
      <alignment horizontal="justify" vertical="center"/>
    </xf>
    <xf numFmtId="0" fontId="4" fillId="0" borderId="7" xfId="0" applyFont="1" applyBorder="1" applyAlignment="1">
      <alignment horizontal="justify" vertical="center"/>
    </xf>
    <xf numFmtId="0" fontId="4" fillId="0" borderId="9" xfId="0" applyFont="1" applyBorder="1" applyAlignment="1">
      <alignment horizontal="justify" vertical="center"/>
    </xf>
    <xf numFmtId="1" fontId="3" fillId="0" borderId="7" xfId="0" applyNumberFormat="1" applyFont="1" applyBorder="1" applyAlignment="1">
      <alignment horizontal="center" vertical="center"/>
    </xf>
    <xf numFmtId="1" fontId="3" fillId="0" borderId="12" xfId="0" applyNumberFormat="1" applyFont="1" applyBorder="1" applyAlignment="1">
      <alignment horizontal="center" vertical="center"/>
    </xf>
    <xf numFmtId="1" fontId="0" fillId="0" borderId="0" xfId="0" applyNumberFormat="1"/>
    <xf numFmtId="0" fontId="4" fillId="0" borderId="7" xfId="0" applyFont="1" applyBorder="1" applyAlignment="1">
      <alignment horizontal="left" vertical="center"/>
    </xf>
    <xf numFmtId="0" fontId="4" fillId="0" borderId="9" xfId="0" applyFont="1" applyBorder="1" applyAlignment="1">
      <alignment horizontal="left" vertical="center"/>
    </xf>
    <xf numFmtId="3" fontId="3" fillId="0" borderId="7" xfId="0" applyNumberFormat="1" applyFont="1" applyBorder="1" applyAlignment="1">
      <alignment horizontal="center" vertical="center"/>
    </xf>
    <xf numFmtId="0" fontId="3" fillId="4" borderId="13" xfId="0" applyFont="1" applyFill="1" applyBorder="1" applyAlignment="1">
      <alignment horizontal="justify" vertical="center"/>
    </xf>
    <xf numFmtId="0" fontId="5" fillId="4" borderId="7" xfId="0" applyFont="1" applyFill="1" applyBorder="1" applyAlignment="1">
      <alignment horizontal="left" vertical="center"/>
    </xf>
    <xf numFmtId="0" fontId="5" fillId="4" borderId="9" xfId="0" applyFont="1" applyFill="1" applyBorder="1" applyAlignment="1">
      <alignment horizontal="left" vertical="center"/>
    </xf>
    <xf numFmtId="1" fontId="2" fillId="4" borderId="7" xfId="0" applyNumberFormat="1" applyFont="1" applyFill="1" applyBorder="1" applyAlignment="1">
      <alignment horizontal="center" vertical="center"/>
    </xf>
    <xf numFmtId="1" fontId="2" fillId="4" borderId="12" xfId="0" applyNumberFormat="1" applyFont="1" applyFill="1" applyBorder="1" applyAlignment="1">
      <alignment horizontal="center" vertical="center"/>
    </xf>
    <xf numFmtId="4" fontId="0" fillId="0" borderId="0" xfId="0" applyNumberFormat="1"/>
    <xf numFmtId="2" fontId="0" fillId="0" borderId="0" xfId="0" applyNumberFormat="1"/>
    <xf numFmtId="0" fontId="2" fillId="0" borderId="13" xfId="0" applyFont="1" applyFill="1" applyBorder="1" applyAlignment="1">
      <alignment horizontal="center" vertical="center"/>
    </xf>
    <xf numFmtId="0" fontId="2" fillId="0" borderId="7" xfId="0" applyFont="1" applyFill="1" applyBorder="1" applyAlignment="1">
      <alignment horizontal="left" vertical="center"/>
    </xf>
    <xf numFmtId="0" fontId="2" fillId="0" borderId="9" xfId="0" applyFont="1" applyFill="1" applyBorder="1" applyAlignment="1">
      <alignment horizontal="left" vertical="center"/>
    </xf>
    <xf numFmtId="1" fontId="3" fillId="0" borderId="7" xfId="0" applyNumberFormat="1" applyFont="1" applyFill="1" applyBorder="1" applyAlignment="1">
      <alignment horizontal="center" vertical="center"/>
    </xf>
    <xf numFmtId="1" fontId="3" fillId="0" borderId="12" xfId="0" applyNumberFormat="1" applyFont="1" applyFill="1" applyBorder="1" applyAlignment="1">
      <alignment horizontal="center" vertical="center"/>
    </xf>
    <xf numFmtId="0" fontId="3" fillId="0" borderId="7" xfId="0" applyFont="1" applyFill="1" applyBorder="1" applyAlignment="1">
      <alignment horizontal="center" vertical="center"/>
    </xf>
    <xf numFmtId="164" fontId="0" fillId="0" borderId="0" xfId="0" applyNumberFormat="1"/>
    <xf numFmtId="0" fontId="3" fillId="4" borderId="13" xfId="0" applyFont="1" applyFill="1" applyBorder="1" applyAlignment="1">
      <alignment horizontal="center" vertical="center"/>
    </xf>
    <xf numFmtId="0" fontId="5" fillId="4" borderId="7" xfId="0" applyFont="1" applyFill="1" applyBorder="1" applyAlignment="1">
      <alignment horizontal="justify" vertical="center"/>
    </xf>
    <xf numFmtId="0" fontId="5" fillId="4" borderId="9" xfId="0" applyFont="1" applyFill="1" applyBorder="1" applyAlignment="1">
      <alignment horizontal="justify" vertical="center"/>
    </xf>
    <xf numFmtId="0" fontId="3" fillId="0" borderId="7" xfId="0" applyFont="1" applyBorder="1" applyAlignment="1">
      <alignment horizontal="left" vertical="center"/>
    </xf>
    <xf numFmtId="0" fontId="3" fillId="0" borderId="9" xfId="0" applyFont="1" applyBorder="1" applyAlignment="1">
      <alignment horizontal="left" vertical="center"/>
    </xf>
    <xf numFmtId="1" fontId="4" fillId="0" borderId="12" xfId="0" applyNumberFormat="1" applyFont="1" applyBorder="1" applyAlignment="1">
      <alignment horizontal="center" vertical="center"/>
    </xf>
    <xf numFmtId="0" fontId="2" fillId="0" borderId="13" xfId="0" applyFont="1" applyBorder="1" applyAlignment="1">
      <alignment horizontal="justify" vertical="center"/>
    </xf>
    <xf numFmtId="0" fontId="2" fillId="0" borderId="7" xfId="0" applyFont="1" applyBorder="1" applyAlignment="1">
      <alignment horizontal="left" vertical="center"/>
    </xf>
    <xf numFmtId="0" fontId="2" fillId="0" borderId="9" xfId="0" applyFont="1" applyBorder="1" applyAlignment="1">
      <alignment horizontal="left" vertical="center"/>
    </xf>
    <xf numFmtId="1" fontId="2" fillId="0" borderId="7" xfId="0" applyNumberFormat="1" applyFont="1" applyFill="1" applyBorder="1" applyAlignment="1">
      <alignment horizontal="center" vertical="center"/>
    </xf>
    <xf numFmtId="1" fontId="2" fillId="0" borderId="12" xfId="0" applyNumberFormat="1" applyFont="1" applyFill="1" applyBorder="1" applyAlignment="1">
      <alignment horizontal="center" vertical="center"/>
    </xf>
    <xf numFmtId="0" fontId="3" fillId="0" borderId="14" xfId="0" applyFont="1" applyBorder="1" applyAlignment="1">
      <alignment horizontal="justify" vertical="center"/>
    </xf>
    <xf numFmtId="0" fontId="3" fillId="0" borderId="15" xfId="0" applyFont="1" applyBorder="1" applyAlignment="1">
      <alignment horizontal="justify" vertical="center"/>
    </xf>
    <xf numFmtId="0" fontId="3" fillId="0" borderId="16" xfId="0" applyFont="1" applyBorder="1" applyAlignment="1">
      <alignment horizontal="justify" vertical="center"/>
    </xf>
    <xf numFmtId="1" fontId="4" fillId="0" borderId="17" xfId="0" applyNumberFormat="1" applyFont="1" applyFill="1" applyBorder="1" applyAlignment="1">
      <alignment horizontal="center" vertical="center"/>
    </xf>
    <xf numFmtId="1" fontId="4" fillId="0" borderId="17" xfId="0" applyNumberFormat="1" applyFont="1" applyBorder="1" applyAlignment="1">
      <alignment horizontal="center" vertical="center"/>
    </xf>
    <xf numFmtId="0" fontId="3" fillId="0" borderId="18" xfId="0" applyFont="1" applyBorder="1" applyAlignment="1">
      <alignment horizontal="justify" vertical="center"/>
    </xf>
    <xf numFmtId="0" fontId="3" fillId="0" borderId="19" xfId="0" applyFont="1" applyBorder="1" applyAlignment="1">
      <alignment horizontal="justify" vertical="center"/>
    </xf>
    <xf numFmtId="0" fontId="3" fillId="0" borderId="20" xfId="0" applyFont="1" applyBorder="1" applyAlignment="1">
      <alignment horizontal="justify" vertical="center"/>
    </xf>
    <xf numFmtId="1" fontId="3" fillId="0" borderId="21" xfId="0" applyNumberFormat="1" applyFont="1" applyFill="1" applyBorder="1" applyAlignment="1">
      <alignment horizontal="center" vertical="center"/>
    </xf>
    <xf numFmtId="1" fontId="4" fillId="0" borderId="21" xfId="0" applyNumberFormat="1" applyFont="1" applyBorder="1" applyAlignment="1">
      <alignment horizontal="center" vertical="center"/>
    </xf>
    <xf numFmtId="0" fontId="3" fillId="0" borderId="22" xfId="0" applyFont="1" applyBorder="1" applyAlignment="1">
      <alignment horizontal="justify" vertical="center"/>
    </xf>
    <xf numFmtId="0" fontId="3" fillId="0" borderId="23" xfId="0" applyFont="1" applyBorder="1" applyAlignment="1">
      <alignment horizontal="left" vertical="center"/>
    </xf>
    <xf numFmtId="0" fontId="3" fillId="0" borderId="24" xfId="0" applyFont="1" applyBorder="1" applyAlignment="1">
      <alignment horizontal="left" vertical="center"/>
    </xf>
    <xf numFmtId="0" fontId="3" fillId="0" borderId="25" xfId="0" applyFont="1" applyFill="1" applyBorder="1" applyAlignment="1">
      <alignment horizontal="center" vertical="center"/>
    </xf>
    <xf numFmtId="1" fontId="4" fillId="0" borderId="25" xfId="0" applyNumberFormat="1" applyFont="1" applyBorder="1" applyAlignment="1">
      <alignment horizontal="center" vertical="center"/>
    </xf>
    <xf numFmtId="0" fontId="2" fillId="4" borderId="7" xfId="0" applyFont="1" applyFill="1" applyBorder="1" applyAlignment="1">
      <alignment horizontal="center" vertical="center"/>
    </xf>
    <xf numFmtId="0" fontId="2" fillId="4" borderId="26" xfId="0" applyFont="1" applyFill="1" applyBorder="1" applyAlignment="1">
      <alignment horizontal="left" vertical="center"/>
    </xf>
    <xf numFmtId="1" fontId="2" fillId="4" borderId="26" xfId="0" applyNumberFormat="1" applyFont="1" applyFill="1" applyBorder="1" applyAlignment="1">
      <alignment horizontal="center" vertical="center"/>
    </xf>
    <xf numFmtId="1" fontId="2" fillId="4" borderId="27" xfId="0" applyNumberFormat="1" applyFont="1" applyFill="1" applyBorder="1" applyAlignment="1">
      <alignment horizontal="center" vertical="center"/>
    </xf>
    <xf numFmtId="0" fontId="1" fillId="0" borderId="0" xfId="0" applyFont="1"/>
    <xf numFmtId="0" fontId="2" fillId="3" borderId="1" xfId="0" applyFont="1" applyFill="1" applyBorder="1" applyAlignment="1">
      <alignment horizontal="justify" vertical="center"/>
    </xf>
    <xf numFmtId="0" fontId="3" fillId="3" borderId="0" xfId="0" applyFont="1" applyFill="1" applyBorder="1" applyAlignment="1">
      <alignment horizontal="justify" vertical="center"/>
    </xf>
    <xf numFmtId="0" fontId="3" fillId="3" borderId="2" xfId="0" applyFont="1" applyFill="1" applyBorder="1" applyAlignment="1">
      <alignment horizontal="justify" vertical="center"/>
    </xf>
    <xf numFmtId="0" fontId="3" fillId="3" borderId="3" xfId="0" applyFont="1" applyFill="1" applyBorder="1" applyAlignment="1">
      <alignment horizontal="justify" vertical="center"/>
    </xf>
    <xf numFmtId="0" fontId="3" fillId="3" borderId="10" xfId="0" applyFont="1" applyFill="1" applyBorder="1" applyAlignment="1">
      <alignment horizontal="justify" vertical="center"/>
    </xf>
    <xf numFmtId="0" fontId="3" fillId="3" borderId="0" xfId="0" applyFont="1" applyFill="1" applyBorder="1" applyAlignment="1">
      <alignment horizontal="justify" vertical="center"/>
    </xf>
    <xf numFmtId="0" fontId="3" fillId="3" borderId="11" xfId="0" applyFont="1" applyFill="1" applyBorder="1" applyAlignment="1">
      <alignment horizontal="justify" vertical="center"/>
    </xf>
    <xf numFmtId="0" fontId="2" fillId="3" borderId="10" xfId="0" applyFont="1" applyFill="1" applyBorder="1" applyAlignment="1">
      <alignment horizontal="left" vertical="center" wrapText="1"/>
    </xf>
    <xf numFmtId="0" fontId="2" fillId="3" borderId="0"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2" fillId="3" borderId="0"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10" xfId="0" applyFont="1" applyFill="1" applyBorder="1" applyAlignment="1">
      <alignment horizontal="justify" vertical="center" wrapText="1"/>
    </xf>
    <xf numFmtId="0" fontId="2" fillId="3" borderId="0" xfId="0" applyFont="1" applyFill="1" applyBorder="1" applyAlignment="1">
      <alignment horizontal="justify" vertical="center" wrapText="1"/>
    </xf>
    <xf numFmtId="0" fontId="2" fillId="3" borderId="11" xfId="0" applyFont="1" applyFill="1" applyBorder="1" applyAlignment="1">
      <alignment horizontal="justify" vertical="center" wrapText="1"/>
    </xf>
    <xf numFmtId="0" fontId="2" fillId="3" borderId="4" xfId="0" applyFont="1" applyFill="1" applyBorder="1" applyAlignment="1">
      <alignment horizontal="justify" vertical="center" wrapText="1"/>
    </xf>
    <xf numFmtId="0" fontId="2" fillId="3" borderId="5" xfId="0" applyFont="1" applyFill="1" applyBorder="1" applyAlignment="1">
      <alignment horizontal="justify" vertical="center" wrapText="1"/>
    </xf>
    <xf numFmtId="0" fontId="2" fillId="3" borderId="6"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42"/>
  <sheetViews>
    <sheetView tabSelected="1" workbookViewId="0">
      <selection activeCell="B11" sqref="B11:C11"/>
    </sheetView>
  </sheetViews>
  <sheetFormatPr defaultRowHeight="14.5" x14ac:dyDescent="0.35"/>
  <cols>
    <col min="1" max="1" width="13.6328125" customWidth="1"/>
    <col min="2" max="2" width="17.90625" customWidth="1"/>
    <col min="3" max="3" width="16.90625" customWidth="1"/>
    <col min="4" max="4" width="17.90625" customWidth="1"/>
    <col min="5" max="5" width="15.90625" customWidth="1"/>
    <col min="6" max="11" width="8.7265625" hidden="1" customWidth="1"/>
    <col min="12" max="12" width="7.81640625" hidden="1" customWidth="1"/>
    <col min="13" max="13" width="8.7265625" hidden="1" customWidth="1"/>
    <col min="14" max="14" width="8.54296875" hidden="1" customWidth="1"/>
    <col min="15" max="19" width="8.7265625" hidden="1" customWidth="1"/>
    <col min="20" max="20" width="8.6328125" hidden="1" customWidth="1"/>
    <col min="21" max="61" width="8.7265625" hidden="1" customWidth="1"/>
    <col min="62" max="62" width="18" hidden="1" customWidth="1"/>
    <col min="63" max="72" width="8.7265625" hidden="1" customWidth="1"/>
    <col min="73" max="88" width="0" hidden="1" customWidth="1"/>
    <col min="89" max="89" width="5.81640625" hidden="1" customWidth="1"/>
    <col min="90" max="92" width="0" hidden="1" customWidth="1"/>
  </cols>
  <sheetData>
    <row r="1" spans="1:84" x14ac:dyDescent="0.35">
      <c r="A1" s="1" t="s">
        <v>0</v>
      </c>
      <c r="B1" s="2"/>
      <c r="C1" s="2"/>
      <c r="D1" s="2"/>
      <c r="E1" s="3"/>
    </row>
    <row r="2" spans="1:84" ht="20.5" customHeight="1" thickBot="1" x14ac:dyDescent="0.4">
      <c r="A2" s="4"/>
      <c r="B2" s="5"/>
      <c r="C2" s="5"/>
      <c r="D2" s="5"/>
      <c r="E2" s="6"/>
    </row>
    <row r="3" spans="1:84" ht="15.5" thickBot="1" x14ac:dyDescent="0.4">
      <c r="A3" s="7" t="s">
        <v>1</v>
      </c>
      <c r="B3" s="8"/>
      <c r="C3" s="8"/>
      <c r="D3" s="8"/>
      <c r="E3" s="9"/>
    </row>
    <row r="4" spans="1:84" ht="15" x14ac:dyDescent="0.35">
      <c r="A4" s="10" t="s">
        <v>2</v>
      </c>
      <c r="B4" s="11" t="s">
        <v>3</v>
      </c>
      <c r="C4" s="11"/>
      <c r="D4" s="11"/>
      <c r="E4" s="12"/>
    </row>
    <row r="5" spans="1:84" ht="15" x14ac:dyDescent="0.35">
      <c r="A5" s="10" t="s">
        <v>4</v>
      </c>
      <c r="B5" s="13" t="s">
        <v>5</v>
      </c>
      <c r="C5" s="14"/>
      <c r="D5" s="15"/>
      <c r="E5" s="16"/>
    </row>
    <row r="6" spans="1:84" ht="18" customHeight="1" x14ac:dyDescent="0.35">
      <c r="A6" s="10" t="s">
        <v>6</v>
      </c>
      <c r="B6" s="17" t="s">
        <v>7</v>
      </c>
      <c r="C6" s="17"/>
      <c r="D6" s="17"/>
      <c r="E6" s="18"/>
    </row>
    <row r="7" spans="1:84" ht="21" customHeight="1" thickBot="1" x14ac:dyDescent="0.4">
      <c r="A7" s="10" t="s">
        <v>8</v>
      </c>
      <c r="B7" s="19" t="s">
        <v>9</v>
      </c>
      <c r="C7" s="19"/>
      <c r="D7" s="20" t="s">
        <v>10</v>
      </c>
      <c r="E7" s="21"/>
    </row>
    <row r="8" spans="1:84" ht="15.5" thickBot="1" x14ac:dyDescent="0.4">
      <c r="A8" s="22"/>
      <c r="B8" s="23" t="s">
        <v>11</v>
      </c>
      <c r="C8" s="24"/>
      <c r="D8" s="25" t="s">
        <v>12</v>
      </c>
      <c r="E8" s="26" t="s">
        <v>13</v>
      </c>
      <c r="BH8">
        <v>28000</v>
      </c>
      <c r="BI8">
        <f>BH8*10%</f>
        <v>2800</v>
      </c>
    </row>
    <row r="9" spans="1:84" ht="15.5" thickBot="1" x14ac:dyDescent="0.4">
      <c r="A9" s="27" t="s">
        <v>14</v>
      </c>
      <c r="B9" s="7" t="s">
        <v>15</v>
      </c>
      <c r="C9" s="8"/>
      <c r="D9" s="8"/>
      <c r="E9" s="9"/>
      <c r="BH9">
        <f>BH8+BI8</f>
        <v>30800</v>
      </c>
    </row>
    <row r="10" spans="1:84" ht="15.5" thickBot="1" x14ac:dyDescent="0.4">
      <c r="A10" s="28"/>
      <c r="B10" s="29" t="s">
        <v>16</v>
      </c>
      <c r="C10" s="30"/>
      <c r="D10" s="31">
        <f>D16*55%</f>
        <v>19800</v>
      </c>
      <c r="E10" s="32">
        <f t="shared" ref="E10:E25" si="0">D10*12</f>
        <v>237600</v>
      </c>
      <c r="Q10">
        <f>D10/26/8</f>
        <v>95.192307692307693</v>
      </c>
      <c r="R10">
        <v>10</v>
      </c>
      <c r="S10">
        <f>Q10*R10</f>
        <v>951.92307692307691</v>
      </c>
      <c r="X10" s="33"/>
      <c r="Y10" s="33">
        <f>D10/26/8*2</f>
        <v>190.38461538461539</v>
      </c>
      <c r="AA10">
        <v>6</v>
      </c>
      <c r="AB10">
        <v>6</v>
      </c>
      <c r="AC10">
        <v>4</v>
      </c>
      <c r="AJ10">
        <v>26883</v>
      </c>
      <c r="AK10" s="33">
        <f>D10/26/8</f>
        <v>95.192307692307693</v>
      </c>
      <c r="AU10">
        <f>11787/28/8*2</f>
        <v>105.24107142857143</v>
      </c>
    </row>
    <row r="11" spans="1:84" ht="15.5" thickBot="1" x14ac:dyDescent="0.4">
      <c r="A11" s="28"/>
      <c r="B11" s="29" t="s">
        <v>17</v>
      </c>
      <c r="C11" s="30"/>
      <c r="D11" s="31">
        <f>D16*30%</f>
        <v>10800</v>
      </c>
      <c r="E11" s="32">
        <f t="shared" si="0"/>
        <v>129600</v>
      </c>
      <c r="AD11">
        <v>70</v>
      </c>
      <c r="AJ11">
        <f>AJ10*12%</f>
        <v>3225.96</v>
      </c>
      <c r="AK11" s="33">
        <f>AK10*2</f>
        <v>190.38461538461539</v>
      </c>
      <c r="BV11">
        <v>31000</v>
      </c>
      <c r="BW11">
        <f>BV11*12%</f>
        <v>3720</v>
      </c>
      <c r="BX11">
        <f>BV11+BW11</f>
        <v>34720</v>
      </c>
      <c r="BY11">
        <f>BX11*5%</f>
        <v>1736</v>
      </c>
    </row>
    <row r="12" spans="1:84" ht="15.5" thickBot="1" x14ac:dyDescent="0.4">
      <c r="A12" s="28"/>
      <c r="B12" s="29" t="s">
        <v>18</v>
      </c>
      <c r="C12" s="30"/>
      <c r="D12" s="31">
        <f>D16*5%</f>
        <v>1800</v>
      </c>
      <c r="E12" s="32">
        <f t="shared" si="0"/>
        <v>21600</v>
      </c>
      <c r="AD12">
        <v>50</v>
      </c>
      <c r="AE12">
        <v>70</v>
      </c>
      <c r="AF12">
        <v>500</v>
      </c>
      <c r="AJ12">
        <f>AJ10+AJ11</f>
        <v>30108.959999999999</v>
      </c>
      <c r="BW12">
        <v>1736</v>
      </c>
    </row>
    <row r="13" spans="1:84" ht="15.5" thickBot="1" x14ac:dyDescent="0.4">
      <c r="A13" s="28"/>
      <c r="B13" s="29" t="s">
        <v>19</v>
      </c>
      <c r="C13" s="30"/>
      <c r="D13" s="31">
        <f>D16*7%</f>
        <v>2520.0000000000005</v>
      </c>
      <c r="E13" s="32">
        <f t="shared" si="0"/>
        <v>30240.000000000007</v>
      </c>
      <c r="AE13">
        <v>70</v>
      </c>
      <c r="AF13">
        <v>1000</v>
      </c>
      <c r="AJ13">
        <f>26610+1331</f>
        <v>27941</v>
      </c>
      <c r="BW13">
        <f>BW11+BW12</f>
        <v>5456</v>
      </c>
    </row>
    <row r="14" spans="1:84" ht="15.5" thickBot="1" x14ac:dyDescent="0.4">
      <c r="A14" s="28"/>
      <c r="B14" s="29" t="s">
        <v>20</v>
      </c>
      <c r="C14" s="30"/>
      <c r="D14" s="31">
        <f>D16*3%</f>
        <v>1080</v>
      </c>
      <c r="E14" s="32">
        <f t="shared" si="0"/>
        <v>12960</v>
      </c>
      <c r="AJ14" s="33">
        <f>AJ12+AJ13</f>
        <v>58049.96</v>
      </c>
      <c r="BW14">
        <v>1639</v>
      </c>
    </row>
    <row r="15" spans="1:84" ht="13.5" customHeight="1" thickBot="1" x14ac:dyDescent="0.4">
      <c r="A15" s="28"/>
      <c r="B15" s="34" t="s">
        <v>21</v>
      </c>
      <c r="C15" s="35"/>
      <c r="D15" s="31">
        <v>6700</v>
      </c>
      <c r="E15" s="32">
        <f t="shared" si="0"/>
        <v>80400</v>
      </c>
      <c r="AJ15" s="33">
        <f>AJ12-AJ13</f>
        <v>2167.9599999999991</v>
      </c>
      <c r="BJ15">
        <v>2530</v>
      </c>
      <c r="BY15" s="33">
        <f>D15+BJ15</f>
        <v>9230</v>
      </c>
    </row>
    <row r="16" spans="1:84" ht="15.5" thickBot="1" x14ac:dyDescent="0.4">
      <c r="A16" s="28"/>
      <c r="B16" s="29" t="s">
        <v>22</v>
      </c>
      <c r="C16" s="30"/>
      <c r="D16" s="36">
        <v>36000</v>
      </c>
      <c r="E16" s="32">
        <f t="shared" si="0"/>
        <v>432000</v>
      </c>
      <c r="F16">
        <f>D16*5%</f>
        <v>1800</v>
      </c>
      <c r="W16" s="33"/>
      <c r="BK16">
        <v>19840</v>
      </c>
      <c r="BL16">
        <f>BK16*12%</f>
        <v>2380.7999999999997</v>
      </c>
      <c r="BM16" s="33">
        <f>BK16+BL16</f>
        <v>22220.799999999999</v>
      </c>
      <c r="BN16">
        <v>40500</v>
      </c>
      <c r="CE16">
        <v>3616</v>
      </c>
      <c r="CF16" s="33">
        <f>D15+CE16</f>
        <v>10316</v>
      </c>
    </row>
    <row r="17" spans="1:92" ht="15.5" thickBot="1" x14ac:dyDescent="0.4">
      <c r="A17" s="37"/>
      <c r="B17" s="38" t="s">
        <v>23</v>
      </c>
      <c r="C17" s="39"/>
      <c r="D17" s="40">
        <v>42700</v>
      </c>
      <c r="E17" s="41">
        <f t="shared" si="0"/>
        <v>512400</v>
      </c>
      <c r="I17">
        <f>D10/D17*100</f>
        <v>46.370023419203747</v>
      </c>
      <c r="K17">
        <v>79153</v>
      </c>
      <c r="L17" s="33">
        <f>K17-D17</f>
        <v>36453</v>
      </c>
      <c r="M17" s="33">
        <f>L17+D15</f>
        <v>43153</v>
      </c>
      <c r="AI17" s="33">
        <f>D17+D25</f>
        <v>44835</v>
      </c>
      <c r="AK17" s="33">
        <f>D17+D25</f>
        <v>44835</v>
      </c>
      <c r="BF17" s="33">
        <v>33000</v>
      </c>
      <c r="BG17" s="33">
        <f>D17-BF17</f>
        <v>9700</v>
      </c>
      <c r="BH17">
        <f>BG17/BF17*100</f>
        <v>29.393939393939394</v>
      </c>
      <c r="BJ17" s="42">
        <f>D17*12%</f>
        <v>5124</v>
      </c>
      <c r="BN17" s="33">
        <f>D17+D25</f>
        <v>44835</v>
      </c>
      <c r="BU17" s="43">
        <f>D17-BJ17</f>
        <v>37576</v>
      </c>
      <c r="BV17">
        <f>BU17/BJ17*100</f>
        <v>733.33333333333326</v>
      </c>
      <c r="BW17">
        <f>BW13-BW14</f>
        <v>3817</v>
      </c>
      <c r="CB17">
        <v>21090</v>
      </c>
      <c r="CC17" s="33">
        <f>D17-CB17</f>
        <v>21610</v>
      </c>
      <c r="CD17" s="43">
        <f>CC17/CB17*100</f>
        <v>102.4656235182551</v>
      </c>
      <c r="CE17">
        <f>D17*10%</f>
        <v>4270</v>
      </c>
      <c r="CL17">
        <v>28000</v>
      </c>
      <c r="CM17" s="33">
        <f>D17-CL17</f>
        <v>14700</v>
      </c>
    </row>
    <row r="18" spans="1:92" ht="15.5" hidden="1" thickBot="1" x14ac:dyDescent="0.4">
      <c r="A18" s="44"/>
      <c r="B18" s="45" t="s">
        <v>24</v>
      </c>
      <c r="C18" s="46"/>
      <c r="D18" s="47">
        <v>15000</v>
      </c>
      <c r="E18" s="48">
        <f t="shared" si="0"/>
        <v>180000</v>
      </c>
      <c r="AH18" s="33">
        <f>D10+D12+D13+D14</f>
        <v>25200</v>
      </c>
      <c r="AK18" s="33">
        <f>D10+D12+D13+D14</f>
        <v>25200</v>
      </c>
      <c r="AT18" s="33"/>
      <c r="BE18" s="33">
        <f>D10+D12+D13+D14</f>
        <v>25200</v>
      </c>
      <c r="BN18" s="33">
        <f>BN17-BN16</f>
        <v>4335</v>
      </c>
      <c r="BO18">
        <v>38500</v>
      </c>
      <c r="BS18">
        <f>BO18*5%</f>
        <v>1925</v>
      </c>
      <c r="BT18">
        <f>BO18+BS18</f>
        <v>40425</v>
      </c>
      <c r="CI18">
        <v>28000</v>
      </c>
      <c r="CJ18" s="33">
        <f>D17-CI18</f>
        <v>14700</v>
      </c>
      <c r="CK18" s="33">
        <f>CI18+CJ18</f>
        <v>42700</v>
      </c>
      <c r="CM18">
        <v>1680</v>
      </c>
    </row>
    <row r="19" spans="1:92" ht="15.5" thickBot="1" x14ac:dyDescent="0.4">
      <c r="A19" s="44"/>
      <c r="B19" s="29" t="s">
        <v>25</v>
      </c>
      <c r="C19" s="30"/>
      <c r="D19" s="47">
        <f>D18/100*12</f>
        <v>1800</v>
      </c>
      <c r="E19" s="48">
        <f t="shared" si="0"/>
        <v>21600</v>
      </c>
      <c r="BF19" s="33">
        <f>D10+D12+D13+D14</f>
        <v>25200</v>
      </c>
      <c r="BG19">
        <v>1885</v>
      </c>
      <c r="BN19" s="33">
        <f>BN18/BN16*100</f>
        <v>10.703703703703704</v>
      </c>
      <c r="CJ19" s="47">
        <v>1680</v>
      </c>
      <c r="CM19" s="33">
        <f>SUM(CM17:CM18)</f>
        <v>16380</v>
      </c>
      <c r="CN19">
        <f>CM19/CL17*100</f>
        <v>58.5</v>
      </c>
    </row>
    <row r="20" spans="1:92" ht="15.5" thickBot="1" x14ac:dyDescent="0.4">
      <c r="A20" s="44"/>
      <c r="B20" s="29" t="s">
        <v>26</v>
      </c>
      <c r="C20" s="30"/>
      <c r="D20" s="47">
        <v>0</v>
      </c>
      <c r="E20" s="48">
        <f t="shared" si="0"/>
        <v>0</v>
      </c>
      <c r="BG20" s="33">
        <f>BG19+BG17</f>
        <v>11585</v>
      </c>
      <c r="CJ20" s="33">
        <f>CJ18+CJ19</f>
        <v>16380</v>
      </c>
      <c r="CK20">
        <f>CJ20/CI18*100</f>
        <v>58.5</v>
      </c>
    </row>
    <row r="21" spans="1:92" ht="15.5" thickBot="1" x14ac:dyDescent="0.4">
      <c r="A21" s="44"/>
      <c r="B21" s="29" t="s">
        <v>27</v>
      </c>
      <c r="C21" s="30"/>
      <c r="D21" s="49">
        <v>208</v>
      </c>
      <c r="E21" s="48">
        <f t="shared" si="0"/>
        <v>2496</v>
      </c>
      <c r="BG21" s="50">
        <f>BG20/BF17*100</f>
        <v>35.106060606060609</v>
      </c>
    </row>
    <row r="22" spans="1:92" ht="15.5" thickBot="1" x14ac:dyDescent="0.4">
      <c r="A22" s="44"/>
      <c r="B22" s="29" t="s">
        <v>28</v>
      </c>
      <c r="C22" s="30"/>
      <c r="D22" s="49">
        <v>600</v>
      </c>
      <c r="E22" s="48">
        <f t="shared" si="0"/>
        <v>7200</v>
      </c>
    </row>
    <row r="23" spans="1:92" ht="15.5" hidden="1" thickBot="1" x14ac:dyDescent="0.4">
      <c r="A23" s="44"/>
      <c r="B23" s="34" t="s">
        <v>29</v>
      </c>
      <c r="C23" s="35"/>
      <c r="D23" s="49">
        <v>0</v>
      </c>
      <c r="E23" s="48">
        <f t="shared" si="0"/>
        <v>0</v>
      </c>
    </row>
    <row r="24" spans="1:92" ht="15.5" thickBot="1" x14ac:dyDescent="0.4">
      <c r="A24" s="51"/>
      <c r="B24" s="52" t="s">
        <v>30</v>
      </c>
      <c r="C24" s="53"/>
      <c r="D24" s="40">
        <f>D17-D19-D20-D21-D22-D23</f>
        <v>40092</v>
      </c>
      <c r="E24" s="41">
        <f t="shared" si="0"/>
        <v>481104</v>
      </c>
      <c r="F24">
        <v>38500</v>
      </c>
      <c r="G24">
        <v>39500</v>
      </c>
      <c r="H24">
        <f>G24-F24</f>
        <v>1000</v>
      </c>
      <c r="AI24" s="33">
        <f>D24+D25</f>
        <v>42227</v>
      </c>
      <c r="BP24">
        <v>38500</v>
      </c>
      <c r="BQ24">
        <f>BP24*5%</f>
        <v>1925</v>
      </c>
      <c r="BR24">
        <f>BP24+BQ24</f>
        <v>40425</v>
      </c>
      <c r="CG24">
        <f>D17*5%</f>
        <v>2135</v>
      </c>
    </row>
    <row r="25" spans="1:92" ht="15.5" thickBot="1" x14ac:dyDescent="0.4">
      <c r="A25" s="28"/>
      <c r="B25" s="54" t="s">
        <v>31</v>
      </c>
      <c r="C25" s="55"/>
      <c r="D25" s="47">
        <f>D17*5%</f>
        <v>2135</v>
      </c>
      <c r="E25" s="56">
        <f t="shared" si="0"/>
        <v>25620</v>
      </c>
      <c r="F25">
        <f>D25*90%</f>
        <v>1921.5</v>
      </c>
      <c r="H25">
        <v>1065000</v>
      </c>
      <c r="I25">
        <f>H25*20%</f>
        <v>213000</v>
      </c>
      <c r="J25">
        <f>H25+I25</f>
        <v>1278000</v>
      </c>
      <c r="T25">
        <v>1000</v>
      </c>
      <c r="U25">
        <v>2000</v>
      </c>
      <c r="W25">
        <v>1000</v>
      </c>
      <c r="X25">
        <v>2000</v>
      </c>
      <c r="BJ25">
        <f>D25*12%</f>
        <v>256.2</v>
      </c>
      <c r="BY25" s="33">
        <f>D25+BJ25</f>
        <v>2391.1999999999998</v>
      </c>
      <c r="BZ25">
        <v>1110</v>
      </c>
      <c r="CE25">
        <f>D25*10%</f>
        <v>213.5</v>
      </c>
      <c r="CF25" s="33">
        <f>D25+CE25</f>
        <v>2348.5</v>
      </c>
    </row>
    <row r="26" spans="1:92" ht="15.5" thickBot="1" x14ac:dyDescent="0.4">
      <c r="A26" s="57"/>
      <c r="B26" s="58" t="s">
        <v>32</v>
      </c>
      <c r="C26" s="59"/>
      <c r="D26" s="60">
        <f>D24+D25</f>
        <v>42227</v>
      </c>
      <c r="E26" s="61">
        <f>E24+E25</f>
        <v>506724</v>
      </c>
      <c r="P26">
        <v>1000</v>
      </c>
      <c r="Y26">
        <v>1000</v>
      </c>
      <c r="Z26">
        <v>2000</v>
      </c>
      <c r="AU26">
        <v>1000</v>
      </c>
    </row>
    <row r="27" spans="1:92" ht="15.5" thickBot="1" x14ac:dyDescent="0.4">
      <c r="A27" s="26" t="s">
        <v>33</v>
      </c>
      <c r="B27" s="7" t="s">
        <v>34</v>
      </c>
      <c r="C27" s="8"/>
      <c r="D27" s="8"/>
      <c r="E27" s="9"/>
      <c r="H27">
        <v>38500</v>
      </c>
      <c r="I27">
        <v>41500</v>
      </c>
      <c r="J27">
        <f>I27-H27</f>
        <v>3000</v>
      </c>
      <c r="Z27">
        <f>Z26/26*10</f>
        <v>769.23076923076917</v>
      </c>
      <c r="AU27">
        <v>2000</v>
      </c>
      <c r="AV27" t="s">
        <v>35</v>
      </c>
      <c r="AW27">
        <v>15</v>
      </c>
      <c r="AX27">
        <v>1000</v>
      </c>
    </row>
    <row r="28" spans="1:92" ht="15" x14ac:dyDescent="0.35">
      <c r="A28" s="62"/>
      <c r="B28" s="63" t="s">
        <v>36</v>
      </c>
      <c r="C28" s="64"/>
      <c r="D28" s="65">
        <f>D18/100*12</f>
        <v>1800</v>
      </c>
      <c r="E28" s="66">
        <f>D28*12</f>
        <v>21600</v>
      </c>
      <c r="AU28" t="s">
        <v>37</v>
      </c>
      <c r="AX28">
        <v>500</v>
      </c>
    </row>
    <row r="29" spans="1:92" ht="15" x14ac:dyDescent="0.35">
      <c r="A29" s="67"/>
      <c r="B29" s="68" t="s">
        <v>38</v>
      </c>
      <c r="C29" s="69"/>
      <c r="D29" s="70">
        <f>ROUND(IF(D17&lt;=21000,D17*3.25%,0),0)</f>
        <v>0</v>
      </c>
      <c r="E29" s="71">
        <f>D29*12</f>
        <v>0</v>
      </c>
      <c r="AL29">
        <v>1000</v>
      </c>
      <c r="AU29">
        <v>70</v>
      </c>
      <c r="AX29">
        <v>1000</v>
      </c>
    </row>
    <row r="30" spans="1:92" ht="15" x14ac:dyDescent="0.35">
      <c r="A30" s="67"/>
      <c r="B30" s="68" t="s">
        <v>39</v>
      </c>
      <c r="C30" s="69"/>
      <c r="D30" s="70">
        <f>D10/100*4.81</f>
        <v>952.37999999999988</v>
      </c>
      <c r="E30" s="71">
        <f>D30*12</f>
        <v>11428.559999999998</v>
      </c>
      <c r="AL30">
        <v>2000</v>
      </c>
      <c r="AY30">
        <v>12</v>
      </c>
      <c r="AZ30">
        <v>12</v>
      </c>
      <c r="BA30">
        <v>12</v>
      </c>
      <c r="BB30">
        <v>12</v>
      </c>
      <c r="BC30">
        <v>12</v>
      </c>
      <c r="BD30">
        <v>12</v>
      </c>
    </row>
    <row r="31" spans="1:92" ht="15" x14ac:dyDescent="0.35">
      <c r="A31" s="67"/>
      <c r="B31" s="68" t="s">
        <v>40</v>
      </c>
      <c r="C31" s="69"/>
      <c r="D31" s="70">
        <f>D10/100*8.33</f>
        <v>1649.34</v>
      </c>
      <c r="E31" s="71">
        <f>D31*12</f>
        <v>19792.079999999998</v>
      </c>
      <c r="AK31" t="s">
        <v>41</v>
      </c>
      <c r="AL31">
        <v>500</v>
      </c>
      <c r="AY31">
        <f>6*4</f>
        <v>24</v>
      </c>
    </row>
    <row r="32" spans="1:92" ht="15.5" thickBot="1" x14ac:dyDescent="0.4">
      <c r="A32" s="72"/>
      <c r="B32" s="73" t="s">
        <v>42</v>
      </c>
      <c r="C32" s="74"/>
      <c r="D32" s="75">
        <v>1000</v>
      </c>
      <c r="E32" s="76">
        <f>D32*12</f>
        <v>12000</v>
      </c>
      <c r="AK32">
        <v>70</v>
      </c>
      <c r="AL32">
        <v>1000</v>
      </c>
      <c r="AM32">
        <v>12</v>
      </c>
      <c r="AN32">
        <v>12</v>
      </c>
      <c r="AO32">
        <v>12</v>
      </c>
      <c r="AP32">
        <v>12</v>
      </c>
      <c r="AQ32">
        <v>12</v>
      </c>
      <c r="AR32">
        <v>12</v>
      </c>
      <c r="AZ32">
        <v>500</v>
      </c>
      <c r="BU32">
        <v>250000</v>
      </c>
      <c r="BV32">
        <v>4600</v>
      </c>
    </row>
    <row r="33" spans="1:77" ht="15" customHeight="1" thickBot="1" x14ac:dyDescent="0.4">
      <c r="A33" s="77" t="s">
        <v>43</v>
      </c>
      <c r="B33" s="78" t="s">
        <v>44</v>
      </c>
      <c r="C33" s="78"/>
      <c r="D33" s="79">
        <f>D17+D25+D28+D29+D30+D31+D32</f>
        <v>50236.719999999994</v>
      </c>
      <c r="E33" s="80">
        <f t="shared" ref="E33" si="1">E17+E25+E28+E29+E30+E31+E32</f>
        <v>602840.64</v>
      </c>
      <c r="F33">
        <v>49000</v>
      </c>
      <c r="G33" s="33">
        <f>F33-D33</f>
        <v>-1236.7199999999939</v>
      </c>
      <c r="H33">
        <v>12936</v>
      </c>
      <c r="K33">
        <v>2.5</v>
      </c>
      <c r="L33" s="81">
        <v>1250000</v>
      </c>
      <c r="M33" s="33">
        <f>L33-E33</f>
        <v>647159.36</v>
      </c>
      <c r="N33" s="33">
        <f>M33/E33*100</f>
        <v>107.35164769249796</v>
      </c>
      <c r="AL33">
        <v>500</v>
      </c>
      <c r="AM33">
        <f>6*4</f>
        <v>24</v>
      </c>
      <c r="AR33">
        <v>500</v>
      </c>
      <c r="BA33">
        <v>250000</v>
      </c>
      <c r="BV33">
        <v>3000</v>
      </c>
      <c r="BW33">
        <v>1600</v>
      </c>
      <c r="BX33">
        <v>1</v>
      </c>
    </row>
    <row r="34" spans="1:77" ht="15" x14ac:dyDescent="0.35">
      <c r="A34" s="82" t="s">
        <v>45</v>
      </c>
      <c r="B34" s="11"/>
      <c r="C34" s="83"/>
      <c r="D34" s="84"/>
      <c r="E34" s="85"/>
      <c r="AL34">
        <v>500</v>
      </c>
      <c r="AM34">
        <v>500</v>
      </c>
      <c r="BV34">
        <v>9000</v>
      </c>
      <c r="BX34" t="s">
        <v>46</v>
      </c>
    </row>
    <row r="35" spans="1:77" ht="45" customHeight="1" x14ac:dyDescent="0.35">
      <c r="A35" s="86" t="s">
        <v>47</v>
      </c>
      <c r="B35" s="87"/>
      <c r="C35" s="87"/>
      <c r="D35" s="87"/>
      <c r="E35" s="88"/>
    </row>
    <row r="36" spans="1:77" ht="15" x14ac:dyDescent="0.35">
      <c r="A36" s="89" t="s">
        <v>48</v>
      </c>
      <c r="B36" s="90"/>
      <c r="C36" s="90"/>
      <c r="D36" s="90"/>
      <c r="E36" s="91"/>
      <c r="AN36">
        <v>23000</v>
      </c>
    </row>
    <row r="37" spans="1:77" ht="15" x14ac:dyDescent="0.35">
      <c r="A37" s="92"/>
      <c r="B37" s="93"/>
      <c r="C37" s="93"/>
      <c r="D37" s="93"/>
      <c r="E37" s="94"/>
      <c r="AN37">
        <v>30650</v>
      </c>
    </row>
    <row r="38" spans="1:77" ht="15" x14ac:dyDescent="0.35">
      <c r="A38" s="92"/>
      <c r="B38" s="93"/>
      <c r="C38" s="93"/>
      <c r="D38" s="93"/>
      <c r="E38" s="94"/>
      <c r="AN38">
        <f>AN37-AN36</f>
        <v>7650</v>
      </c>
    </row>
    <row r="39" spans="1:77" ht="15" x14ac:dyDescent="0.35">
      <c r="A39" s="95"/>
      <c r="B39" s="96"/>
      <c r="C39" s="96"/>
      <c r="D39" s="96"/>
      <c r="E39" s="97"/>
      <c r="BY39">
        <f>6*800</f>
        <v>4800</v>
      </c>
    </row>
    <row r="40" spans="1:77" ht="15" x14ac:dyDescent="0.35">
      <c r="A40" s="89" t="s">
        <v>49</v>
      </c>
      <c r="B40" s="90"/>
      <c r="C40" s="90"/>
      <c r="D40" s="90"/>
      <c r="E40" s="91"/>
      <c r="BY40">
        <v>4800</v>
      </c>
    </row>
    <row r="41" spans="1:77" ht="15" x14ac:dyDescent="0.35">
      <c r="A41" s="95" t="s">
        <v>50</v>
      </c>
      <c r="B41" s="96"/>
      <c r="C41" s="96"/>
      <c r="D41" s="96"/>
      <c r="E41" s="97"/>
    </row>
    <row r="42" spans="1:77" ht="15.5" thickBot="1" x14ac:dyDescent="0.4">
      <c r="A42" s="98"/>
      <c r="B42" s="99"/>
      <c r="C42" s="99"/>
      <c r="D42" s="99"/>
      <c r="E42" s="100"/>
    </row>
  </sheetData>
  <mergeCells count="39">
    <mergeCell ref="A40:E40"/>
    <mergeCell ref="A41:E41"/>
    <mergeCell ref="A42:E42"/>
    <mergeCell ref="B32:C32"/>
    <mergeCell ref="B33:C33"/>
    <mergeCell ref="A34:B34"/>
    <mergeCell ref="A35:E35"/>
    <mergeCell ref="A36:E36"/>
    <mergeCell ref="A39:E39"/>
    <mergeCell ref="B26:C26"/>
    <mergeCell ref="B27:E27"/>
    <mergeCell ref="B28:C28"/>
    <mergeCell ref="B29:C29"/>
    <mergeCell ref="B30:C30"/>
    <mergeCell ref="B31:C31"/>
    <mergeCell ref="B20:C20"/>
    <mergeCell ref="B21:C21"/>
    <mergeCell ref="B22:C22"/>
    <mergeCell ref="B23:C23"/>
    <mergeCell ref="B24:C24"/>
    <mergeCell ref="B25:C25"/>
    <mergeCell ref="B14:C14"/>
    <mergeCell ref="B15:C15"/>
    <mergeCell ref="B16:C16"/>
    <mergeCell ref="B17:C17"/>
    <mergeCell ref="B18:C18"/>
    <mergeCell ref="B19:C19"/>
    <mergeCell ref="B8:C8"/>
    <mergeCell ref="B9:E9"/>
    <mergeCell ref="B10:C10"/>
    <mergeCell ref="B11:C11"/>
    <mergeCell ref="B12:C12"/>
    <mergeCell ref="B13:C13"/>
    <mergeCell ref="A1:E2"/>
    <mergeCell ref="A3:E3"/>
    <mergeCell ref="B4:E4"/>
    <mergeCell ref="D5:E5"/>
    <mergeCell ref="B6:E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2026-08-03T15:54:05Z</dcterms:modified>
</cp:coreProperties>
</file>