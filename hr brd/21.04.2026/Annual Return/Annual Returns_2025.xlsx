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firstSheet="2" activeTab="3"/>
  </bookViews>
  <sheets>
    <sheet name="Praveen" sheetId="1" state="hidden" r:id="rId1"/>
    <sheet name="Vikki Annual Return Work Sh (2" sheetId="8" state="hidden" r:id="rId2"/>
    <sheet name="Salary,Bonus,EL" sheetId="3" r:id="rId3"/>
    <sheet name="Annual Return Worksheet" sheetId="2" r:id="rId4"/>
  </sheets>
  <definedNames>
    <definedName name="_xlnm._FilterDatabase" localSheetId="0" hidden="1">Praveen!$V$1:$AA$7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" i="2" l="1"/>
  <c r="P18" i="2"/>
  <c r="P17" i="2"/>
  <c r="P16" i="2"/>
  <c r="P15" i="2"/>
  <c r="P14" i="2"/>
  <c r="P13" i="2"/>
  <c r="P12" i="2"/>
  <c r="P11" i="2"/>
  <c r="P10" i="2"/>
  <c r="O19" i="2"/>
  <c r="O18" i="2"/>
  <c r="O17" i="2"/>
  <c r="O16" i="2"/>
  <c r="O15" i="2"/>
  <c r="O14" i="2"/>
  <c r="O13" i="2"/>
  <c r="O12" i="2"/>
  <c r="O11" i="2"/>
  <c r="O10" i="2"/>
  <c r="J68" i="2" l="1"/>
  <c r="N19" i="2"/>
  <c r="N18" i="2"/>
  <c r="N17" i="2"/>
  <c r="N16" i="2"/>
  <c r="N15" i="2"/>
  <c r="N14" i="2"/>
  <c r="N13" i="2"/>
  <c r="N12" i="2"/>
  <c r="N11" i="2"/>
  <c r="N10" i="2"/>
  <c r="N9" i="2"/>
  <c r="N8" i="2" l="1"/>
  <c r="O38" i="2" l="1"/>
  <c r="N38" i="2"/>
  <c r="J8" i="2" l="1"/>
  <c r="M8" i="2" s="1"/>
  <c r="O8" i="2" l="1"/>
  <c r="N20" i="2" l="1"/>
  <c r="W13" i="2"/>
  <c r="C4" i="3" l="1"/>
  <c r="C5" i="3"/>
  <c r="C6" i="3"/>
  <c r="C7" i="3"/>
  <c r="C8" i="3"/>
  <c r="C9" i="3"/>
  <c r="C10" i="3"/>
  <c r="C11" i="3"/>
  <c r="C12" i="3"/>
  <c r="C13" i="3"/>
  <c r="C14" i="3"/>
  <c r="C3" i="3"/>
  <c r="E21" i="3"/>
  <c r="D21" i="3"/>
  <c r="C21" i="3"/>
  <c r="B21" i="3"/>
  <c r="C15" i="3" l="1"/>
  <c r="Z12" i="2"/>
  <c r="AA12" i="2"/>
  <c r="G78" i="8" l="1"/>
  <c r="J75" i="8"/>
  <c r="E75" i="8"/>
  <c r="B75" i="8"/>
  <c r="J72" i="8"/>
  <c r="E68" i="8"/>
  <c r="B68" i="8"/>
  <c r="J62" i="8"/>
  <c r="L17" i="8" s="1"/>
  <c r="E62" i="8"/>
  <c r="B62" i="8"/>
  <c r="R60" i="8"/>
  <c r="M56" i="8"/>
  <c r="J56" i="8"/>
  <c r="E56" i="8"/>
  <c r="B56" i="8"/>
  <c r="M50" i="8"/>
  <c r="J50" i="8"/>
  <c r="E50" i="8"/>
  <c r="B50" i="8"/>
  <c r="N48" i="8"/>
  <c r="J44" i="8"/>
  <c r="E44" i="8"/>
  <c r="B44" i="8"/>
  <c r="S38" i="8"/>
  <c r="R38" i="8"/>
  <c r="J38" i="8"/>
  <c r="E38" i="8"/>
  <c r="B38" i="8"/>
  <c r="T37" i="8"/>
  <c r="O37" i="8"/>
  <c r="M37" i="8"/>
  <c r="T36" i="8"/>
  <c r="M36" i="8"/>
  <c r="O36" i="8" s="1"/>
  <c r="T35" i="8"/>
  <c r="M35" i="8"/>
  <c r="O35" i="8" s="1"/>
  <c r="T34" i="8"/>
  <c r="M34" i="8"/>
  <c r="O34" i="8" s="1"/>
  <c r="T33" i="8"/>
  <c r="O33" i="8"/>
  <c r="M33" i="8"/>
  <c r="T32" i="8"/>
  <c r="M32" i="8"/>
  <c r="O32" i="8" s="1"/>
  <c r="J32" i="8"/>
  <c r="E32" i="8"/>
  <c r="B32" i="8"/>
  <c r="T31" i="8"/>
  <c r="O31" i="8"/>
  <c r="M31" i="8"/>
  <c r="T30" i="8"/>
  <c r="O30" i="8"/>
  <c r="M30" i="8"/>
  <c r="T29" i="8"/>
  <c r="O29" i="8"/>
  <c r="T28" i="8"/>
  <c r="O28" i="8"/>
  <c r="T27" i="8"/>
  <c r="O27" i="8"/>
  <c r="T26" i="8"/>
  <c r="T38" i="8" s="1"/>
  <c r="O26" i="8"/>
  <c r="J26" i="8"/>
  <c r="E26" i="8"/>
  <c r="B26" i="8"/>
  <c r="Y23" i="8"/>
  <c r="X23" i="8"/>
  <c r="W23" i="8"/>
  <c r="V23" i="8"/>
  <c r="AA21" i="8"/>
  <c r="O20" i="8"/>
  <c r="N22" i="8" s="1"/>
  <c r="M20" i="8"/>
  <c r="J20" i="8"/>
  <c r="E20" i="8"/>
  <c r="B20" i="8"/>
  <c r="R19" i="8"/>
  <c r="L19" i="8"/>
  <c r="R18" i="8"/>
  <c r="R17" i="8"/>
  <c r="V16" i="8"/>
  <c r="R16" i="8"/>
  <c r="L16" i="8"/>
  <c r="V15" i="8"/>
  <c r="R15" i="8"/>
  <c r="L15" i="8"/>
  <c r="V14" i="8"/>
  <c r="R14" i="8"/>
  <c r="L14" i="8"/>
  <c r="J14" i="8"/>
  <c r="E14" i="8"/>
  <c r="B14" i="8"/>
  <c r="V13" i="8"/>
  <c r="R13" i="8"/>
  <c r="L13" i="8"/>
  <c r="V12" i="8"/>
  <c r="R12" i="8"/>
  <c r="L12" i="8"/>
  <c r="V11" i="8"/>
  <c r="R11" i="8"/>
  <c r="L11" i="8"/>
  <c r="V10" i="8"/>
  <c r="R10" i="8"/>
  <c r="L10" i="8"/>
  <c r="V9" i="8"/>
  <c r="Q9" i="8"/>
  <c r="P9" i="8"/>
  <c r="R9" i="8" s="1"/>
  <c r="O9" i="8"/>
  <c r="N9" i="8"/>
  <c r="L9" i="8"/>
  <c r="V8" i="8"/>
  <c r="Q8" i="8"/>
  <c r="Q20" i="8" s="1"/>
  <c r="P8" i="8"/>
  <c r="R8" i="8" s="1"/>
  <c r="O8" i="8"/>
  <c r="N8" i="8"/>
  <c r="N20" i="8" s="1"/>
  <c r="J8" i="8"/>
  <c r="L8" i="8" s="1"/>
  <c r="E8" i="8"/>
  <c r="B8" i="8"/>
  <c r="V7" i="8"/>
  <c r="V6" i="8"/>
  <c r="V5" i="8"/>
  <c r="V17" i="8" s="1"/>
  <c r="W6" i="2"/>
  <c r="M22" i="8" l="1"/>
  <c r="L22" i="8" s="1"/>
  <c r="N21" i="8"/>
  <c r="O38" i="8"/>
  <c r="L20" i="8"/>
  <c r="L21" i="8" s="1"/>
  <c r="O22" i="8" s="1"/>
  <c r="R20" i="8"/>
  <c r="P20" i="8"/>
  <c r="P21" i="8" s="1"/>
  <c r="L18" i="8"/>
  <c r="AA14" i="1" l="1"/>
  <c r="S38" i="2" l="1"/>
  <c r="G77" i="2"/>
  <c r="E68" i="2"/>
  <c r="B68" i="2"/>
  <c r="B62" i="2" l="1"/>
  <c r="W5" i="2" l="1"/>
  <c r="W7" i="2"/>
  <c r="B8" i="2"/>
  <c r="E8" i="2"/>
  <c r="P8" i="2"/>
  <c r="Q8" i="2"/>
  <c r="R8" i="2"/>
  <c r="W8" i="2"/>
  <c r="O9" i="2"/>
  <c r="P9" i="2"/>
  <c r="Q9" i="2"/>
  <c r="R9" i="2"/>
  <c r="W9" i="2"/>
  <c r="S10" i="2"/>
  <c r="W10" i="2"/>
  <c r="S11" i="2"/>
  <c r="W11" i="2"/>
  <c r="S12" i="2"/>
  <c r="W12" i="2"/>
  <c r="S13" i="2"/>
  <c r="B14" i="2"/>
  <c r="E14" i="2"/>
  <c r="J14" i="2"/>
  <c r="M9" i="2" s="1"/>
  <c r="S14" i="2"/>
  <c r="W14" i="2"/>
  <c r="S15" i="2"/>
  <c r="W15" i="2"/>
  <c r="S16" i="2"/>
  <c r="W16" i="2"/>
  <c r="S17" i="2"/>
  <c r="S18" i="2"/>
  <c r="S19" i="2"/>
  <c r="B20" i="2"/>
  <c r="E20" i="2"/>
  <c r="M10" i="2" s="1"/>
  <c r="J20" i="2"/>
  <c r="B26" i="2"/>
  <c r="E26" i="2"/>
  <c r="J26" i="2"/>
  <c r="M11" i="2" s="1"/>
  <c r="P26" i="2"/>
  <c r="U26" i="2"/>
  <c r="P27" i="2"/>
  <c r="U27" i="2"/>
  <c r="P28" i="2"/>
  <c r="U28" i="2"/>
  <c r="P29" i="2"/>
  <c r="U29" i="2"/>
  <c r="P30" i="2"/>
  <c r="U30" i="2"/>
  <c r="P31" i="2"/>
  <c r="U31" i="2"/>
  <c r="B32" i="2"/>
  <c r="E32" i="2"/>
  <c r="J32" i="2"/>
  <c r="M12" i="2" s="1"/>
  <c r="P32" i="2"/>
  <c r="U32" i="2"/>
  <c r="P33" i="2"/>
  <c r="U33" i="2"/>
  <c r="P34" i="2"/>
  <c r="U34" i="2"/>
  <c r="P35" i="2"/>
  <c r="U35" i="2"/>
  <c r="P36" i="2"/>
  <c r="U36" i="2"/>
  <c r="P37" i="2"/>
  <c r="U37" i="2"/>
  <c r="B38" i="2"/>
  <c r="E38" i="2"/>
  <c r="J38" i="2"/>
  <c r="M13" i="2" s="1"/>
  <c r="T38" i="2"/>
  <c r="B44" i="2"/>
  <c r="E44" i="2"/>
  <c r="J44" i="2"/>
  <c r="M14" i="2" s="1"/>
  <c r="B50" i="2"/>
  <c r="E50" i="2"/>
  <c r="J50" i="2"/>
  <c r="M15" i="2" s="1"/>
  <c r="B56" i="2"/>
  <c r="E56" i="2"/>
  <c r="J56" i="2"/>
  <c r="M16" i="2" s="1"/>
  <c r="E62" i="2"/>
  <c r="J62" i="2"/>
  <c r="B74" i="2"/>
  <c r="E74" i="2"/>
  <c r="J74" i="2"/>
  <c r="M19" i="2" s="1"/>
  <c r="S9" i="2" l="1"/>
  <c r="O20" i="2"/>
  <c r="N22" i="2" s="1"/>
  <c r="R20" i="2"/>
  <c r="M18" i="2"/>
  <c r="M17" i="2"/>
  <c r="W17" i="2"/>
  <c r="S8" i="2"/>
  <c r="S20" i="2" s="1"/>
  <c r="Q20" i="2"/>
  <c r="Q21" i="2" s="1"/>
  <c r="U38" i="2"/>
  <c r="P20" i="2"/>
  <c r="P38" i="2"/>
  <c r="I3" i="1"/>
  <c r="I7" i="1"/>
  <c r="M20" i="2" l="1"/>
  <c r="M21" i="2" s="1"/>
  <c r="P22" i="2" s="1"/>
  <c r="P23" i="2" s="1"/>
  <c r="O21" i="2"/>
  <c r="O22" i="2"/>
  <c r="M22" i="2" s="1"/>
  <c r="AD4" i="1" l="1"/>
  <c r="N3" i="1" l="1"/>
  <c r="T20" i="1"/>
  <c r="N33" i="1"/>
  <c r="AE21" i="1" l="1"/>
  <c r="AE20" i="1"/>
  <c r="Y30" i="1" l="1"/>
  <c r="Y19" i="1"/>
  <c r="Y20" i="1"/>
  <c r="Y21" i="1"/>
  <c r="Y22" i="1"/>
  <c r="Y23" i="1"/>
  <c r="Y24" i="1"/>
  <c r="Y25" i="1"/>
  <c r="Y26" i="1"/>
  <c r="Y27" i="1"/>
  <c r="Y28" i="1"/>
  <c r="Y29" i="1"/>
  <c r="Y18" i="1"/>
  <c r="AA13" i="1"/>
  <c r="AA12" i="1" l="1"/>
  <c r="AA11" i="1" l="1"/>
  <c r="AA10" i="1" l="1"/>
  <c r="AA9" i="1" l="1"/>
  <c r="AA8" i="1" l="1"/>
  <c r="AA7" i="1" l="1"/>
  <c r="AA6" i="1" l="1"/>
  <c r="AA5" i="1" l="1"/>
  <c r="AA4" i="1" l="1"/>
  <c r="AA3" i="1" l="1"/>
  <c r="AA2" i="1" l="1"/>
  <c r="T17" i="1" l="1"/>
  <c r="P18" i="1" l="1"/>
  <c r="F44" i="1" l="1"/>
  <c r="Q17" i="1"/>
  <c r="P17" i="1"/>
  <c r="N49" i="1"/>
  <c r="N45" i="1"/>
  <c r="N41" i="1"/>
  <c r="N37" i="1"/>
  <c r="N32" i="1"/>
  <c r="N31" i="1"/>
  <c r="N29" i="1"/>
  <c r="N28" i="1"/>
  <c r="N27" i="1"/>
  <c r="N25" i="1"/>
  <c r="N24" i="1"/>
  <c r="N23" i="1"/>
  <c r="N21" i="1"/>
  <c r="N20" i="1"/>
  <c r="N19" i="1"/>
  <c r="N17" i="1" l="1"/>
  <c r="N16" i="1"/>
  <c r="N15" i="1"/>
  <c r="N13" i="1"/>
  <c r="N12" i="1"/>
  <c r="N11" i="1"/>
  <c r="N9" i="1"/>
  <c r="N8" i="1"/>
  <c r="N7" i="1"/>
  <c r="N5" i="1"/>
  <c r="N4" i="1"/>
  <c r="F47" i="1" l="1"/>
  <c r="F48" i="1"/>
  <c r="F46" i="1"/>
  <c r="F43" i="1" l="1"/>
  <c r="F42" i="1"/>
  <c r="F39" i="1" l="1"/>
  <c r="F40" i="1"/>
  <c r="F35" i="1"/>
  <c r="F36" i="1"/>
  <c r="F38" i="1"/>
  <c r="F34" i="1" l="1"/>
  <c r="F31" i="1" l="1"/>
  <c r="F32" i="1"/>
  <c r="F30" i="1"/>
  <c r="F27" i="1" l="1"/>
  <c r="F28" i="1"/>
  <c r="F26" i="1"/>
  <c r="F23" i="1" l="1"/>
  <c r="F24" i="1"/>
  <c r="F22" i="1"/>
  <c r="F19" i="1" l="1"/>
  <c r="F20" i="1"/>
  <c r="F18" i="1"/>
  <c r="F15" i="1" l="1"/>
  <c r="F16" i="1"/>
  <c r="F14" i="1"/>
  <c r="F11" i="1" l="1"/>
  <c r="F12" i="1"/>
  <c r="F10" i="1"/>
  <c r="F7" i="1" l="1"/>
  <c r="F8" i="1"/>
  <c r="F6" i="1"/>
  <c r="F3" i="1"/>
  <c r="F4" i="1"/>
  <c r="F2" i="1" l="1"/>
</calcChain>
</file>

<file path=xl/sharedStrings.xml><?xml version="1.0" encoding="utf-8"?>
<sst xmlns="http://schemas.openxmlformats.org/spreadsheetml/2006/main" count="861" uniqueCount="134">
  <si>
    <t>Staff</t>
  </si>
  <si>
    <t>NJ</t>
  </si>
  <si>
    <t>Trainee</t>
  </si>
  <si>
    <t>Naps</t>
  </si>
  <si>
    <t>Total</t>
  </si>
  <si>
    <t xml:space="preserve">Jan </t>
  </si>
  <si>
    <t>Male</t>
  </si>
  <si>
    <t>Female</t>
  </si>
  <si>
    <t>Feb</t>
  </si>
  <si>
    <t>March</t>
  </si>
  <si>
    <t>April</t>
  </si>
  <si>
    <t>Month</t>
  </si>
  <si>
    <t>May</t>
  </si>
  <si>
    <t>June</t>
  </si>
  <si>
    <t>July</t>
  </si>
  <si>
    <t>Aug</t>
  </si>
  <si>
    <t>Sep</t>
  </si>
  <si>
    <t>Oct</t>
  </si>
  <si>
    <t>Nov</t>
  </si>
  <si>
    <t>Dec</t>
  </si>
  <si>
    <t>Present days</t>
  </si>
  <si>
    <t>No of mandays</t>
  </si>
  <si>
    <t>number of days</t>
  </si>
  <si>
    <t>Average</t>
  </si>
  <si>
    <t>OT</t>
  </si>
  <si>
    <t>HK</t>
  </si>
  <si>
    <t>Security</t>
  </si>
  <si>
    <t>HK Duty</t>
  </si>
  <si>
    <t>may</t>
  </si>
  <si>
    <t>ATTENDANCE HEAD COUNT</t>
  </si>
  <si>
    <t>MANDAYS COUNT</t>
  </si>
  <si>
    <t xml:space="preserve">OT </t>
  </si>
  <si>
    <t>JAN</t>
  </si>
  <si>
    <t>TOTAL</t>
  </si>
  <si>
    <t>GENDER</t>
  </si>
  <si>
    <t>FEB</t>
  </si>
  <si>
    <t>Number of days</t>
  </si>
  <si>
    <t>Male OT</t>
  </si>
  <si>
    <t>Female OT</t>
  </si>
  <si>
    <t>Total OT</t>
  </si>
  <si>
    <t>Jan</t>
  </si>
  <si>
    <t>Mar</t>
  </si>
  <si>
    <t>Apr</t>
  </si>
  <si>
    <t>Jul</t>
  </si>
  <si>
    <t>SDB SECURITY</t>
  </si>
  <si>
    <t>ON ROLL EMPLOYEES</t>
  </si>
  <si>
    <t>Jun</t>
  </si>
  <si>
    <t>S. No</t>
  </si>
  <si>
    <t>Product</t>
  </si>
  <si>
    <t>UOM</t>
  </si>
  <si>
    <t>Value</t>
  </si>
  <si>
    <t>Aerospace &amp; Non Aerospace Components</t>
  </si>
  <si>
    <t>14,18,895 - Nos</t>
  </si>
  <si>
    <t>Testing equipment part and assemblies</t>
  </si>
  <si>
    <t>525 - Nos</t>
  </si>
  <si>
    <t>Inspection equipment's parts and assemblies</t>
  </si>
  <si>
    <t>-</t>
  </si>
  <si>
    <t>Medical Equipment's</t>
  </si>
  <si>
    <t>5,08,460 - Nos</t>
  </si>
  <si>
    <t>Electrical part and electronic connectors</t>
  </si>
  <si>
    <t>8,78,381 - Nos</t>
  </si>
  <si>
    <t>Industrial valves &amp; parts</t>
  </si>
  <si>
    <t>Housing, valve Seat</t>
  </si>
  <si>
    <t>87,422 - Nos</t>
  </si>
  <si>
    <t>Tooling and Development Charges</t>
  </si>
  <si>
    <t>Scrap</t>
  </si>
  <si>
    <t>2,49,980.38 - Kgs</t>
  </si>
  <si>
    <t>Particulars of Products Manufactured / Services Rendered</t>
  </si>
  <si>
    <t>Men</t>
  </si>
  <si>
    <t>Women</t>
  </si>
  <si>
    <t>Adoulescent Men</t>
  </si>
  <si>
    <t xml:space="preserve">Total Number of Person Employed </t>
  </si>
  <si>
    <t>Noumber of Employees Eligible for earned Leave</t>
  </si>
  <si>
    <t>Number of Employees Avalied / granted EL</t>
  </si>
  <si>
    <t>Number of Employees discharged / Dismissed /Triminated / Resigned / Retired / Died during the year</t>
  </si>
  <si>
    <t>Number of employees paid wages / salary in lieu of earned leave</t>
  </si>
  <si>
    <t>Total Month Factory working Days</t>
  </si>
  <si>
    <t>Security Min Employee : 6</t>
  </si>
  <si>
    <t>HK Min Employee : 8</t>
  </si>
  <si>
    <t>Employee Average No's of hr's worked per week-48</t>
  </si>
  <si>
    <t>Payment of Bonus Paid for the Accounting Year</t>
  </si>
  <si>
    <t>Number of Employee Eligible for Bonus</t>
  </si>
  <si>
    <t>Percentage of Bonus declared</t>
  </si>
  <si>
    <t>Total amount of Bonus paid Rs</t>
  </si>
  <si>
    <t>Date of payment</t>
  </si>
  <si>
    <t>On Roll Salary List</t>
  </si>
  <si>
    <t>S.NO</t>
  </si>
  <si>
    <t>Total Employees</t>
  </si>
  <si>
    <t xml:space="preserve">Total </t>
  </si>
  <si>
    <t>OIL TESTING EQUIPMENT</t>
  </si>
  <si>
    <t>Industrial valves &amp; parts - Others</t>
  </si>
  <si>
    <t>Jan'2025</t>
  </si>
  <si>
    <t>Feb'2025</t>
  </si>
  <si>
    <t>March'2025</t>
  </si>
  <si>
    <t>April'2025</t>
  </si>
  <si>
    <t>May'2025</t>
  </si>
  <si>
    <t>June'2025</t>
  </si>
  <si>
    <t>July'2025</t>
  </si>
  <si>
    <t>Aug'2025</t>
  </si>
  <si>
    <t>Sep'2025</t>
  </si>
  <si>
    <t>Oct'2025</t>
  </si>
  <si>
    <t>Nov'2025</t>
  </si>
  <si>
    <t>Dec'2025</t>
  </si>
  <si>
    <t>On-Roll Employees</t>
  </si>
  <si>
    <t>ON ROLL Employee's Salary List</t>
  </si>
  <si>
    <t>Attendacne Head Count</t>
  </si>
  <si>
    <t>Gender</t>
  </si>
  <si>
    <t>Adolescent</t>
  </si>
  <si>
    <t>Payment of Bonus Paid for the Accounting Year 2024-2025</t>
  </si>
  <si>
    <t>Number of Employee eligible for Bonus</t>
  </si>
  <si>
    <t>Total amount of Bonus paid in Rs.</t>
  </si>
  <si>
    <t>Number of Employees Availed/ Granted EL</t>
  </si>
  <si>
    <t>Number of Employees Discharged/ Dismissed/ Terminated/ Resigned/ Retired/ Died during the year</t>
  </si>
  <si>
    <t>Head Count</t>
  </si>
  <si>
    <t>OT Hours</t>
  </si>
  <si>
    <t>Count</t>
  </si>
  <si>
    <t>Southern Group Security</t>
  </si>
  <si>
    <t>ABS House Keeping</t>
  </si>
  <si>
    <t>Security Minimum Employee: 12 / Day</t>
  </si>
  <si>
    <t>HK Minimum Employee: 13 / Day</t>
  </si>
  <si>
    <t>Total month Factory working Days</t>
  </si>
  <si>
    <t>No. of days</t>
  </si>
  <si>
    <t>Male HC</t>
  </si>
  <si>
    <t>Female HC</t>
  </si>
  <si>
    <t>Number of Employees Eligible for Earned Leave</t>
  </si>
  <si>
    <t>Security Minimum Employee: 10 / Day</t>
  </si>
  <si>
    <t>Jan-June</t>
  </si>
  <si>
    <t>July-Dec</t>
  </si>
  <si>
    <t>Employee Average No. of Hours worked per week: 48</t>
  </si>
  <si>
    <t>Payment of Bonus Paid for the Accounting Year'2024-2025</t>
  </si>
  <si>
    <t>Number of Employees Eligible for Bonus</t>
  </si>
  <si>
    <t>Number of employees paid Wages/ Salary in lieu of Earned leave</t>
  </si>
  <si>
    <t>Man days Count</t>
  </si>
  <si>
    <t>No. of man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</si>
</sst>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-* #,##0.00_-;\-* #,##0.00_-;_-* &quot;-&quot;??_-;_-@_-"/>
    <numFmt numFmtId="167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2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7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1" fillId="0" borderId="1" xfId="0" applyFont="1" applyFill="1" applyBorder="1"/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165" fontId="1" fillId="0" borderId="1" xfId="0" applyNumberFormat="1" applyFont="1" applyBorder="1"/>
    <xf numFmtId="1" fontId="0" fillId="0" borderId="0" xfId="0" applyNumberFormat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3" borderId="0" xfId="0" applyFill="1" applyBorder="1"/>
    <xf numFmtId="0" fontId="0" fillId="0" borderId="3" xfId="0" applyBorder="1"/>
    <xf numFmtId="0" fontId="0" fillId="3" borderId="0" xfId="0" applyFill="1" applyBorder="1" applyAlignment="1"/>
    <xf numFmtId="0" fontId="1" fillId="3" borderId="0" xfId="0" applyFont="1" applyFill="1" applyBorder="1" applyAlignment="1">
      <alignment horizontal="center" vertical="center"/>
    </xf>
    <xf numFmtId="0" fontId="1" fillId="0" borderId="3" xfId="0" applyFont="1" applyBorder="1"/>
    <xf numFmtId="0" fontId="1" fillId="3" borderId="0" xfId="0" applyFont="1" applyFill="1" applyBorder="1"/>
    <xf numFmtId="0" fontId="1" fillId="0" borderId="0" xfId="0" applyFont="1"/>
    <xf numFmtId="0" fontId="0" fillId="0" borderId="1" xfId="0" applyFill="1" applyBorder="1" applyAlignment="1">
      <alignment horizontal="center" vertical="center"/>
    </xf>
    <xf numFmtId="0" fontId="5" fillId="0" borderId="1" xfId="0" applyFont="1" applyBorder="1"/>
    <xf numFmtId="0" fontId="1" fillId="2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0" fillId="4" borderId="0" xfId="0" applyFill="1"/>
    <xf numFmtId="0" fontId="5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0" fillId="3" borderId="1" xfId="0" applyFont="1" applyFill="1" applyBorder="1"/>
    <xf numFmtId="0" fontId="6" fillId="3" borderId="1" xfId="0" applyFont="1" applyFill="1" applyBorder="1"/>
    <xf numFmtId="0" fontId="0" fillId="0" borderId="2" xfId="0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" fontId="1" fillId="6" borderId="0" xfId="0" applyNumberFormat="1" applyFont="1" applyFill="1"/>
    <xf numFmtId="1" fontId="0" fillId="6" borderId="0" xfId="0" applyNumberFormat="1" applyFill="1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0" fillId="6" borderId="1" xfId="0" applyFill="1" applyBorder="1"/>
    <xf numFmtId="14" fontId="0" fillId="0" borderId="1" xfId="0" applyNumberFormat="1" applyBorder="1" applyAlignment="1">
      <alignment vertical="center"/>
    </xf>
    <xf numFmtId="3" fontId="9" fillId="0" borderId="10" xfId="0" applyNumberFormat="1" applyFont="1" applyBorder="1" applyAlignment="1">
      <alignment horizontal="right" vertical="center"/>
    </xf>
    <xf numFmtId="3" fontId="8" fillId="0" borderId="10" xfId="0" applyNumberFormat="1" applyFont="1" applyBorder="1" applyAlignment="1">
      <alignment horizontal="right" vertical="center"/>
    </xf>
    <xf numFmtId="10" fontId="0" fillId="0" borderId="1" xfId="0" applyNumberFormat="1" applyBorder="1" applyAlignment="1">
      <alignment vertical="center"/>
    </xf>
    <xf numFmtId="3" fontId="8" fillId="0" borderId="0" xfId="0" applyNumberFormat="1" applyFont="1" applyFill="1" applyBorder="1" applyAlignment="1">
      <alignment horizontal="right" vertical="center"/>
    </xf>
    <xf numFmtId="17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3" xfId="0" applyNumberFormat="1" applyBorder="1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6" xfId="0" applyBorder="1"/>
    <xf numFmtId="0" fontId="0" fillId="0" borderId="0" xfId="0" applyFill="1" applyBorder="1" applyAlignment="1"/>
    <xf numFmtId="0" fontId="10" fillId="0" borderId="0" xfId="0" applyFont="1" applyFill="1" applyBorder="1"/>
    <xf numFmtId="0" fontId="6" fillId="0" borderId="0" xfId="0" applyFont="1" applyFill="1" applyBorder="1"/>
    <xf numFmtId="0" fontId="10" fillId="0" borderId="0" xfId="0" applyFont="1" applyFill="1" applyBorder="1" applyAlignment="1"/>
    <xf numFmtId="0" fontId="6" fillId="0" borderId="0" xfId="0" applyFont="1" applyFill="1" applyBorder="1" applyAlignment="1"/>
    <xf numFmtId="1" fontId="1" fillId="0" borderId="1" xfId="0" applyNumberFormat="1" applyFont="1" applyBorder="1"/>
    <xf numFmtId="167" fontId="1" fillId="0" borderId="1" xfId="0" applyNumberFormat="1" applyFont="1" applyBorder="1"/>
    <xf numFmtId="167" fontId="0" fillId="0" borderId="1" xfId="0" applyNumberFormat="1" applyBorder="1"/>
    <xf numFmtId="167" fontId="0" fillId="0" borderId="1" xfId="0" applyNumberFormat="1" applyBorder="1" applyAlignment="1">
      <alignment horizontal="center" vertical="center"/>
    </xf>
    <xf numFmtId="165" fontId="1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67" fontId="0" fillId="0" borderId="3" xfId="0" applyNumberFormat="1" applyBorder="1"/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92">
    <cellStyle name="Comma 2" xfId="1"/>
    <cellStyle name="Comma 2 2" xfId="87"/>
    <cellStyle name="Comma 2 3" xfId="3"/>
    <cellStyle name="Comma 3" xfId="8"/>
    <cellStyle name="Comma 3 2" xfId="12"/>
    <cellStyle name="Comma 3 2 2" xfId="37"/>
    <cellStyle name="Comma 3 2 3" xfId="61"/>
    <cellStyle name="Comma 3 3" xfId="34"/>
    <cellStyle name="Comma 3 4" xfId="58"/>
    <cellStyle name="Comma 4" xfId="10"/>
    <cellStyle name="Comma 5" xfId="6"/>
    <cellStyle name="Normal" xfId="0" builtinId="0"/>
    <cellStyle name="Normal 10" xfId="5"/>
    <cellStyle name="Normal 11" xfId="23"/>
    <cellStyle name="Normal 11 2" xfId="48"/>
    <cellStyle name="Normal 11 3" xfId="72"/>
    <cellStyle name="Normal 12" xfId="26"/>
    <cellStyle name="Normal 12 2" xfId="51"/>
    <cellStyle name="Normal 12 3" xfId="75"/>
    <cellStyle name="Normal 13" xfId="29"/>
    <cellStyle name="Normal 13 2" xfId="54"/>
    <cellStyle name="Normal 13 3" xfId="78"/>
    <cellStyle name="Normal 13 4" xfId="88"/>
    <cellStyle name="Normal 14" xfId="81"/>
    <cellStyle name="Normal 15" xfId="82"/>
    <cellStyle name="Normal 16" xfId="83"/>
    <cellStyle name="Normal 17" xfId="84"/>
    <cellStyle name="Normal 18" xfId="85"/>
    <cellStyle name="Normal 19" xfId="89"/>
    <cellStyle name="Normal 2" xfId="4"/>
    <cellStyle name="Normal 20" xfId="90"/>
    <cellStyle name="Normal 21" xfId="91"/>
    <cellStyle name="Normal 22" xfId="2"/>
    <cellStyle name="Normal 25" xfId="32"/>
    <cellStyle name="Normal 3" xfId="7"/>
    <cellStyle name="Normal 3 2" xfId="11"/>
    <cellStyle name="Normal 3 2 2" xfId="36"/>
    <cellStyle name="Normal 3 2 3" xfId="60"/>
    <cellStyle name="Normal 3 3" xfId="33"/>
    <cellStyle name="Normal 3 4" xfId="57"/>
    <cellStyle name="Normal 4" xfId="9"/>
    <cellStyle name="Normal 4 10" xfId="59"/>
    <cellStyle name="Normal 4 11" xfId="86"/>
    <cellStyle name="Normal 4 2" xfId="13"/>
    <cellStyle name="Normal 4 2 2" xfId="38"/>
    <cellStyle name="Normal 4 2 3" xfId="62"/>
    <cellStyle name="Normal 4 3" xfId="16"/>
    <cellStyle name="Normal 4 3 2" xfId="41"/>
    <cellStyle name="Normal 4 3 3" xfId="65"/>
    <cellStyle name="Normal 4 4" xfId="18"/>
    <cellStyle name="Normal 4 4 2" xfId="43"/>
    <cellStyle name="Normal 4 4 3" xfId="67"/>
    <cellStyle name="Normal 4 5" xfId="22"/>
    <cellStyle name="Normal 4 5 2" xfId="47"/>
    <cellStyle name="Normal 4 5 3" xfId="71"/>
    <cellStyle name="Normal 4 6" xfId="25"/>
    <cellStyle name="Normal 4 6 2" xfId="50"/>
    <cellStyle name="Normal 4 6 3" xfId="74"/>
    <cellStyle name="Normal 4 7" xfId="28"/>
    <cellStyle name="Normal 4 7 2" xfId="53"/>
    <cellStyle name="Normal 4 7 3" xfId="77"/>
    <cellStyle name="Normal 4 8" xfId="31"/>
    <cellStyle name="Normal 4 8 2" xfId="56"/>
    <cellStyle name="Normal 4 8 3" xfId="80"/>
    <cellStyle name="Normal 4 9" xfId="35"/>
    <cellStyle name="Normal 5" xfId="14"/>
    <cellStyle name="Normal 5 2" xfId="39"/>
    <cellStyle name="Normal 5 3" xfId="63"/>
    <cellStyle name="Normal 6" xfId="15"/>
    <cellStyle name="Normal 6 2" xfId="21"/>
    <cellStyle name="Normal 6 2 2" xfId="46"/>
    <cellStyle name="Normal 6 2 3" xfId="70"/>
    <cellStyle name="Normal 6 3" xfId="24"/>
    <cellStyle name="Normal 6 3 2" xfId="49"/>
    <cellStyle name="Normal 6 3 3" xfId="73"/>
    <cellStyle name="Normal 6 4" xfId="27"/>
    <cellStyle name="Normal 6 4 2" xfId="52"/>
    <cellStyle name="Normal 6 4 3" xfId="76"/>
    <cellStyle name="Normal 6 5" xfId="30"/>
    <cellStyle name="Normal 6 5 2" xfId="55"/>
    <cellStyle name="Normal 6 5 3" xfId="79"/>
    <cellStyle name="Normal 6 6" xfId="40"/>
    <cellStyle name="Normal 6 7" xfId="64"/>
    <cellStyle name="Normal 7" xfId="17"/>
    <cellStyle name="Normal 7 2" xfId="42"/>
    <cellStyle name="Normal 7 3" xfId="66"/>
    <cellStyle name="Normal 8" xfId="19"/>
    <cellStyle name="Normal 8 2" xfId="44"/>
    <cellStyle name="Normal 8 3" xfId="68"/>
    <cellStyle name="Normal 9" xfId="20"/>
    <cellStyle name="Normal 9 2" xfId="45"/>
    <cellStyle name="Normal 9 3" xfId="6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topLeftCell="N1" workbookViewId="0">
      <selection activeCell="Z13" sqref="Z13"/>
    </sheetView>
  </sheetViews>
  <sheetFormatPr defaultRowHeight="15" x14ac:dyDescent="0.25"/>
  <cols>
    <col min="8" max="8" width="11.7109375" bestFit="1" customWidth="1"/>
    <col min="16" max="16" width="14.28515625" bestFit="1" customWidth="1"/>
    <col min="17" max="17" width="13.7109375" bestFit="1" customWidth="1"/>
    <col min="22" max="22" width="6.7109375" bestFit="1" customWidth="1"/>
    <col min="23" max="23" width="13.28515625" customWidth="1"/>
    <col min="24" max="24" width="11.7109375" customWidth="1"/>
    <col min="25" max="25" width="10.5703125" bestFit="1" customWidth="1"/>
    <col min="26" max="26" width="9.5703125" bestFit="1" customWidth="1"/>
    <col min="27" max="27" width="13.28515625" customWidth="1"/>
  </cols>
  <sheetData>
    <row r="1" spans="1:30" x14ac:dyDescent="0.25">
      <c r="A1" s="7" t="s">
        <v>11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6"/>
      <c r="H1" s="7" t="s">
        <v>20</v>
      </c>
      <c r="I1" s="6"/>
      <c r="J1" s="7" t="s">
        <v>0</v>
      </c>
      <c r="K1" s="7" t="s">
        <v>1</v>
      </c>
      <c r="L1" s="7" t="s">
        <v>2</v>
      </c>
      <c r="M1" s="7" t="s">
        <v>3</v>
      </c>
      <c r="N1" s="7" t="s">
        <v>4</v>
      </c>
      <c r="V1" s="7" t="s">
        <v>11</v>
      </c>
      <c r="W1" s="7" t="s">
        <v>0</v>
      </c>
      <c r="X1" s="7" t="s">
        <v>1</v>
      </c>
      <c r="Y1" s="7" t="s">
        <v>2</v>
      </c>
      <c r="Z1" s="7" t="s">
        <v>3</v>
      </c>
      <c r="AA1" s="7" t="s">
        <v>4</v>
      </c>
    </row>
    <row r="2" spans="1:30" x14ac:dyDescent="0.25">
      <c r="A2" s="2" t="s">
        <v>5</v>
      </c>
      <c r="B2" s="1">
        <v>216</v>
      </c>
      <c r="C2" s="1">
        <v>110</v>
      </c>
      <c r="D2" s="1">
        <v>66</v>
      </c>
      <c r="E2" s="3">
        <v>16</v>
      </c>
      <c r="F2" s="2">
        <f>SUM(B2:E2)</f>
        <v>408</v>
      </c>
      <c r="H2" s="116">
        <v>25</v>
      </c>
      <c r="J2" s="1"/>
      <c r="K2" s="1"/>
      <c r="L2" s="1"/>
      <c r="M2" s="1"/>
      <c r="N2" s="1"/>
      <c r="V2" s="2" t="s">
        <v>5</v>
      </c>
      <c r="W2" s="14">
        <v>6767694.3459671</v>
      </c>
      <c r="X2" s="14">
        <v>1042604.6612903227</v>
      </c>
      <c r="Y2" s="14">
        <v>674180.48387096811</v>
      </c>
      <c r="Z2" s="14">
        <v>99177.419354838727</v>
      </c>
      <c r="AA2" s="14">
        <f t="shared" ref="AA2:AA13" si="0">SUM(W2:Z2)</f>
        <v>8583656.9104832299</v>
      </c>
    </row>
    <row r="3" spans="1:30" x14ac:dyDescent="0.25">
      <c r="A3" s="2" t="s">
        <v>6</v>
      </c>
      <c r="B3" s="1">
        <v>201</v>
      </c>
      <c r="C3" s="1">
        <v>95</v>
      </c>
      <c r="D3" s="1">
        <v>56</v>
      </c>
      <c r="E3" s="3">
        <v>16</v>
      </c>
      <c r="F3" s="1">
        <f>SUM(B3:E3)</f>
        <v>368</v>
      </c>
      <c r="H3" s="116"/>
      <c r="I3" s="16">
        <f>+F3*12.664222</f>
        <v>4660.4336960000001</v>
      </c>
      <c r="J3" s="1">
        <v>4660</v>
      </c>
      <c r="K3" s="1">
        <v>2023</v>
      </c>
      <c r="L3" s="1">
        <v>1039</v>
      </c>
      <c r="M3" s="1">
        <v>338</v>
      </c>
      <c r="N3" s="1">
        <f>SUM(J3:M3)</f>
        <v>8060</v>
      </c>
      <c r="R3" s="110" t="s">
        <v>23</v>
      </c>
      <c r="S3" s="110"/>
      <c r="V3" s="2" t="s">
        <v>8</v>
      </c>
      <c r="W3" s="14">
        <v>6766092.4338258104</v>
      </c>
      <c r="X3" s="14">
        <v>1939873.2258064509</v>
      </c>
      <c r="Y3" s="14">
        <v>940708.38709677407</v>
      </c>
      <c r="Z3" s="14">
        <v>169838.70967741936</v>
      </c>
      <c r="AA3" s="14">
        <f t="shared" si="0"/>
        <v>9816512.7564064544</v>
      </c>
    </row>
    <row r="4" spans="1:30" x14ac:dyDescent="0.25">
      <c r="A4" s="2" t="s">
        <v>7</v>
      </c>
      <c r="B4" s="1">
        <v>15</v>
      </c>
      <c r="C4" s="1">
        <v>15</v>
      </c>
      <c r="D4" s="1">
        <v>7</v>
      </c>
      <c r="E4" s="1"/>
      <c r="F4" s="1">
        <f>SUM(B4:E4)</f>
        <v>37</v>
      </c>
      <c r="H4" s="116"/>
      <c r="J4" s="1">
        <v>242</v>
      </c>
      <c r="K4" s="1">
        <v>336</v>
      </c>
      <c r="L4" s="1">
        <v>128</v>
      </c>
      <c r="M4" s="1">
        <v>0</v>
      </c>
      <c r="N4" s="1">
        <f>SUM(J4:M4)</f>
        <v>706</v>
      </c>
      <c r="P4" s="7" t="s">
        <v>21</v>
      </c>
      <c r="Q4" s="7" t="s">
        <v>22</v>
      </c>
      <c r="R4" s="7" t="s">
        <v>6</v>
      </c>
      <c r="S4" s="7" t="s">
        <v>7</v>
      </c>
      <c r="T4" s="7" t="s">
        <v>24</v>
      </c>
      <c r="V4" s="2" t="s">
        <v>9</v>
      </c>
      <c r="W4" s="14">
        <v>6770624.0512350006</v>
      </c>
      <c r="X4" s="14">
        <v>1931983.857142857</v>
      </c>
      <c r="Y4" s="14">
        <v>971627.85714285693</v>
      </c>
      <c r="Z4" s="14">
        <v>116999.99999999997</v>
      </c>
      <c r="AA4" s="14">
        <f t="shared" si="0"/>
        <v>9791235.7655207142</v>
      </c>
      <c r="AD4">
        <f>150+180</f>
        <v>330</v>
      </c>
    </row>
    <row r="5" spans="1:30" x14ac:dyDescent="0.25">
      <c r="N5" s="2">
        <f>N3+N4</f>
        <v>8766</v>
      </c>
      <c r="P5" s="8">
        <v>8766</v>
      </c>
      <c r="Q5" s="9">
        <v>25</v>
      </c>
      <c r="R5" s="8">
        <v>368</v>
      </c>
      <c r="S5" s="8">
        <v>37</v>
      </c>
      <c r="T5" s="10">
        <v>3490</v>
      </c>
      <c r="V5" s="2" t="s">
        <v>10</v>
      </c>
      <c r="W5" s="14">
        <v>6717539.7617090298</v>
      </c>
      <c r="X5" s="14">
        <v>1990579.3548387096</v>
      </c>
      <c r="Y5" s="14">
        <v>1006468.5483870968</v>
      </c>
      <c r="Z5" s="14">
        <v>117225.80645161291</v>
      </c>
      <c r="AA5" s="14">
        <f t="shared" si="0"/>
        <v>9831813.4713864494</v>
      </c>
    </row>
    <row r="6" spans="1:30" x14ac:dyDescent="0.25">
      <c r="A6" s="2" t="s">
        <v>8</v>
      </c>
      <c r="B6" s="1">
        <v>216</v>
      </c>
      <c r="C6" s="1">
        <v>104</v>
      </c>
      <c r="D6" s="1">
        <v>79</v>
      </c>
      <c r="E6" s="1">
        <v>18</v>
      </c>
      <c r="F6" s="2">
        <f>SUM(B6:E6)</f>
        <v>417</v>
      </c>
      <c r="H6" s="116">
        <v>26</v>
      </c>
      <c r="P6" s="8">
        <v>9739</v>
      </c>
      <c r="Q6" s="9">
        <v>26</v>
      </c>
      <c r="R6" s="8">
        <v>377</v>
      </c>
      <c r="S6" s="8">
        <v>40</v>
      </c>
      <c r="T6" s="10">
        <v>3628</v>
      </c>
      <c r="V6" s="2" t="s">
        <v>12</v>
      </c>
      <c r="W6" s="14">
        <v>6684384.3318539998</v>
      </c>
      <c r="X6" s="14">
        <v>2061702.9666666666</v>
      </c>
      <c r="Y6" s="14">
        <v>862266.83333333337</v>
      </c>
      <c r="Z6" s="14">
        <v>112366.66666666667</v>
      </c>
      <c r="AA6" s="14">
        <f t="shared" si="0"/>
        <v>9720720.7985206656</v>
      </c>
    </row>
    <row r="7" spans="1:30" x14ac:dyDescent="0.25">
      <c r="A7" s="4" t="s">
        <v>6</v>
      </c>
      <c r="B7" s="1">
        <v>201</v>
      </c>
      <c r="C7" s="1">
        <v>90</v>
      </c>
      <c r="D7" s="1">
        <v>68</v>
      </c>
      <c r="E7" s="1">
        <v>18</v>
      </c>
      <c r="F7" s="1">
        <f t="shared" ref="F7:F8" si="1">SUM(B7:E7)</f>
        <v>377</v>
      </c>
      <c r="H7" s="116"/>
      <c r="I7" s="16">
        <f>+F7*12.664222</f>
        <v>4774.4116940000004</v>
      </c>
      <c r="J7" s="1">
        <v>4807</v>
      </c>
      <c r="K7" s="1">
        <v>2384</v>
      </c>
      <c r="L7" s="1">
        <v>1502</v>
      </c>
      <c r="M7" s="1">
        <v>252</v>
      </c>
      <c r="N7" s="1">
        <f>SUM(J7:M7)</f>
        <v>8945</v>
      </c>
      <c r="P7" s="8">
        <v>8787</v>
      </c>
      <c r="Q7" s="9">
        <v>24</v>
      </c>
      <c r="R7" s="10">
        <v>368</v>
      </c>
      <c r="S7" s="10">
        <v>40</v>
      </c>
      <c r="T7" s="10">
        <v>4798</v>
      </c>
      <c r="V7" s="2" t="s">
        <v>13</v>
      </c>
      <c r="W7" s="14">
        <v>6611175.9013367742</v>
      </c>
      <c r="X7" s="14">
        <v>2239433.3870967743</v>
      </c>
      <c r="Y7" s="14">
        <v>912159.83870967745</v>
      </c>
      <c r="Z7" s="14">
        <v>490741.93548387097</v>
      </c>
      <c r="AA7" s="14">
        <f t="shared" si="0"/>
        <v>10253511.062627096</v>
      </c>
    </row>
    <row r="8" spans="1:30" x14ac:dyDescent="0.25">
      <c r="A8" s="4" t="s">
        <v>7</v>
      </c>
      <c r="B8" s="1">
        <v>15</v>
      </c>
      <c r="C8" s="1">
        <v>14</v>
      </c>
      <c r="D8" s="1">
        <v>11</v>
      </c>
      <c r="E8" s="1"/>
      <c r="F8" s="1">
        <f t="shared" si="1"/>
        <v>40</v>
      </c>
      <c r="H8" s="116"/>
      <c r="J8" s="1">
        <v>243</v>
      </c>
      <c r="K8" s="1">
        <v>332</v>
      </c>
      <c r="L8" s="1">
        <v>219</v>
      </c>
      <c r="M8" s="1">
        <v>0</v>
      </c>
      <c r="N8" s="1">
        <f>SUM(J8:M8)</f>
        <v>794</v>
      </c>
      <c r="P8" s="8">
        <v>9323</v>
      </c>
      <c r="Q8" s="9">
        <v>25</v>
      </c>
      <c r="R8" s="10">
        <v>367</v>
      </c>
      <c r="S8" s="10">
        <v>44</v>
      </c>
      <c r="T8" s="10">
        <v>7446</v>
      </c>
      <c r="V8" s="2" t="s">
        <v>14</v>
      </c>
      <c r="W8" s="14">
        <v>7422319.272257138</v>
      </c>
      <c r="X8" s="14">
        <v>2576503.5341600003</v>
      </c>
      <c r="Y8" s="14">
        <v>1049318.8493333336</v>
      </c>
      <c r="Z8" s="14">
        <v>750140</v>
      </c>
      <c r="AA8" s="14">
        <f t="shared" si="0"/>
        <v>11798281.65575047</v>
      </c>
    </row>
    <row r="9" spans="1:30" x14ac:dyDescent="0.25">
      <c r="N9" s="2">
        <f>N7+N8</f>
        <v>9739</v>
      </c>
      <c r="P9" s="8">
        <v>11424</v>
      </c>
      <c r="Q9" s="9">
        <v>25</v>
      </c>
      <c r="R9" s="10">
        <v>374</v>
      </c>
      <c r="S9" s="10">
        <v>38</v>
      </c>
      <c r="T9" s="10">
        <v>6741</v>
      </c>
      <c r="V9" s="2" t="s">
        <v>15</v>
      </c>
      <c r="W9" s="14">
        <v>7463569.3152110763</v>
      </c>
      <c r="X9" s="14">
        <v>2721032.0135277426</v>
      </c>
      <c r="Y9" s="14">
        <v>1729554.7752258056</v>
      </c>
      <c r="Z9" s="14">
        <v>0</v>
      </c>
      <c r="AA9" s="14">
        <f t="shared" si="0"/>
        <v>11914156.103964625</v>
      </c>
    </row>
    <row r="10" spans="1:30" x14ac:dyDescent="0.25">
      <c r="A10" s="2" t="s">
        <v>9</v>
      </c>
      <c r="B10" s="1">
        <v>215</v>
      </c>
      <c r="C10" s="1">
        <v>102</v>
      </c>
      <c r="D10" s="1">
        <v>79</v>
      </c>
      <c r="E10" s="1">
        <v>12</v>
      </c>
      <c r="F10" s="2">
        <f>SUM(B10:E10)</f>
        <v>408</v>
      </c>
      <c r="H10" s="116">
        <v>24</v>
      </c>
      <c r="P10" s="8">
        <v>8578</v>
      </c>
      <c r="Q10" s="9">
        <v>26</v>
      </c>
      <c r="R10" s="10">
        <v>419</v>
      </c>
      <c r="S10" s="10">
        <v>38</v>
      </c>
      <c r="T10" s="10">
        <v>6429</v>
      </c>
      <c r="V10" s="2" t="s">
        <v>16</v>
      </c>
      <c r="W10" s="14">
        <v>7349377.3237354206</v>
      </c>
      <c r="X10" s="14">
        <v>2635912.0776567752</v>
      </c>
      <c r="Y10" s="14">
        <v>1723100.9752258055</v>
      </c>
      <c r="Z10" s="14">
        <v>0</v>
      </c>
      <c r="AA10" s="14">
        <f t="shared" si="0"/>
        <v>11708390.376618002</v>
      </c>
    </row>
    <row r="11" spans="1:30" x14ac:dyDescent="0.25">
      <c r="A11" s="4" t="s">
        <v>6</v>
      </c>
      <c r="B11" s="1">
        <v>200</v>
      </c>
      <c r="C11" s="1">
        <v>87</v>
      </c>
      <c r="D11" s="1">
        <v>69</v>
      </c>
      <c r="E11" s="1">
        <v>12</v>
      </c>
      <c r="F11" s="1">
        <f t="shared" ref="F11:F12" si="2">SUM(B11:E11)</f>
        <v>368</v>
      </c>
      <c r="H11" s="116"/>
      <c r="J11" s="1">
        <v>4485</v>
      </c>
      <c r="K11" s="1">
        <v>1895</v>
      </c>
      <c r="L11" s="1">
        <v>1399</v>
      </c>
      <c r="M11" s="1">
        <v>215</v>
      </c>
      <c r="N11" s="1">
        <f>SUM(J11:M11)</f>
        <v>7994</v>
      </c>
      <c r="P11" s="8">
        <v>10593</v>
      </c>
      <c r="Q11" s="9">
        <v>26</v>
      </c>
      <c r="R11" s="10">
        <v>427</v>
      </c>
      <c r="S11" s="10">
        <v>40</v>
      </c>
      <c r="T11" s="10">
        <v>3141</v>
      </c>
      <c r="V11" s="2" t="s">
        <v>17</v>
      </c>
      <c r="W11" s="14">
        <v>7290226.7339983052</v>
      </c>
      <c r="X11" s="14">
        <v>2813649.943680001</v>
      </c>
      <c r="Y11" s="14">
        <v>1840823.0560000001</v>
      </c>
      <c r="Z11" s="14">
        <v>0</v>
      </c>
      <c r="AA11" s="14">
        <f t="shared" si="0"/>
        <v>11944699.733678306</v>
      </c>
    </row>
    <row r="12" spans="1:30" x14ac:dyDescent="0.25">
      <c r="A12" s="4" t="s">
        <v>7</v>
      </c>
      <c r="B12" s="1">
        <v>15</v>
      </c>
      <c r="C12" s="1">
        <v>15</v>
      </c>
      <c r="D12" s="1">
        <v>10</v>
      </c>
      <c r="E12" s="1"/>
      <c r="F12" s="1">
        <f t="shared" si="2"/>
        <v>40</v>
      </c>
      <c r="H12" s="116"/>
      <c r="J12" s="1">
        <v>242</v>
      </c>
      <c r="K12" s="1">
        <v>332</v>
      </c>
      <c r="L12" s="1">
        <v>219</v>
      </c>
      <c r="M12" s="1">
        <v>0</v>
      </c>
      <c r="N12" s="1">
        <f>SUM(J12:M12)</f>
        <v>793</v>
      </c>
      <c r="P12" s="8">
        <v>10542</v>
      </c>
      <c r="Q12" s="9">
        <v>26</v>
      </c>
      <c r="R12" s="10">
        <v>426</v>
      </c>
      <c r="S12" s="10">
        <v>44</v>
      </c>
      <c r="T12" s="10">
        <v>4321</v>
      </c>
      <c r="V12" s="2" t="s">
        <v>18</v>
      </c>
      <c r="W12" s="14">
        <v>7131397.6057291431</v>
      </c>
      <c r="X12" s="14">
        <v>2817797.869785808</v>
      </c>
      <c r="Y12" s="14">
        <v>1922291.9744516117</v>
      </c>
      <c r="Z12" s="14">
        <v>0</v>
      </c>
      <c r="AA12" s="14">
        <f t="shared" si="0"/>
        <v>11871487.449966565</v>
      </c>
    </row>
    <row r="13" spans="1:30" x14ac:dyDescent="0.25">
      <c r="N13" s="2">
        <f>N11+N12</f>
        <v>8787</v>
      </c>
      <c r="P13" s="8">
        <v>10160</v>
      </c>
      <c r="Q13" s="9">
        <v>25</v>
      </c>
      <c r="R13" s="10">
        <v>424</v>
      </c>
      <c r="S13" s="10">
        <v>44</v>
      </c>
      <c r="T13" s="10">
        <v>4765</v>
      </c>
      <c r="V13" s="2" t="s">
        <v>19</v>
      </c>
      <c r="W13" s="14">
        <v>7027613.0185742909</v>
      </c>
      <c r="X13" s="14">
        <v>2907750.4757226664</v>
      </c>
      <c r="Y13" s="14">
        <v>1961321.4885333329</v>
      </c>
      <c r="Z13" s="14">
        <v>0</v>
      </c>
      <c r="AA13" s="14">
        <f t="shared" si="0"/>
        <v>11896684.98283029</v>
      </c>
    </row>
    <row r="14" spans="1:30" x14ac:dyDescent="0.25">
      <c r="A14" s="2" t="s">
        <v>10</v>
      </c>
      <c r="B14" s="1">
        <v>212</v>
      </c>
      <c r="C14" s="1">
        <v>105</v>
      </c>
      <c r="D14" s="1">
        <v>82</v>
      </c>
      <c r="E14" s="1">
        <v>12</v>
      </c>
      <c r="F14" s="2">
        <f>SUM(B14:E14)</f>
        <v>411</v>
      </c>
      <c r="H14" s="116">
        <v>25</v>
      </c>
      <c r="P14" s="8">
        <v>9425</v>
      </c>
      <c r="Q14" s="9">
        <v>23</v>
      </c>
      <c r="R14" s="10">
        <v>416</v>
      </c>
      <c r="S14" s="10">
        <v>46</v>
      </c>
      <c r="T14" s="10">
        <v>4385</v>
      </c>
      <c r="V14" s="112" t="s">
        <v>4</v>
      </c>
      <c r="W14" s="113"/>
      <c r="X14" s="113"/>
      <c r="Y14" s="113"/>
      <c r="Z14" s="114"/>
      <c r="AA14" s="15">
        <f>SUM(AA2:AA13)</f>
        <v>129131151.06775285</v>
      </c>
    </row>
    <row r="15" spans="1:30" x14ac:dyDescent="0.25">
      <c r="A15" s="4" t="s">
        <v>6</v>
      </c>
      <c r="B15" s="1">
        <v>197</v>
      </c>
      <c r="C15" s="1">
        <v>90</v>
      </c>
      <c r="D15" s="1">
        <v>68</v>
      </c>
      <c r="E15" s="1">
        <v>12</v>
      </c>
      <c r="F15" s="1">
        <f t="shared" ref="F15:F16" si="3">SUM(B15:E15)</f>
        <v>367</v>
      </c>
      <c r="H15" s="116"/>
      <c r="J15" s="5">
        <v>4550</v>
      </c>
      <c r="K15" s="5">
        <v>2023</v>
      </c>
      <c r="L15" s="5">
        <v>1682</v>
      </c>
      <c r="M15" s="5">
        <v>217</v>
      </c>
      <c r="N15" s="5">
        <f>SUM(J15:M15)</f>
        <v>8472</v>
      </c>
      <c r="P15" s="8">
        <v>10135</v>
      </c>
      <c r="Q15" s="9">
        <v>25</v>
      </c>
      <c r="R15" s="10">
        <v>427</v>
      </c>
      <c r="S15" s="10">
        <v>47</v>
      </c>
      <c r="T15" s="10">
        <v>5995</v>
      </c>
      <c r="W15" s="13"/>
      <c r="X15" s="13"/>
      <c r="Y15" s="13"/>
      <c r="Z15" s="13"/>
      <c r="AA15" s="13"/>
    </row>
    <row r="16" spans="1:30" x14ac:dyDescent="0.25">
      <c r="A16" s="4" t="s">
        <v>7</v>
      </c>
      <c r="B16" s="1">
        <v>15</v>
      </c>
      <c r="C16" s="1">
        <v>15</v>
      </c>
      <c r="D16" s="1">
        <v>14</v>
      </c>
      <c r="E16" s="1"/>
      <c r="F16" s="1">
        <f t="shared" si="3"/>
        <v>44</v>
      </c>
      <c r="H16" s="116"/>
      <c r="J16" s="5">
        <v>278</v>
      </c>
      <c r="K16" s="5">
        <v>313</v>
      </c>
      <c r="L16" s="5">
        <v>260</v>
      </c>
      <c r="M16" s="5">
        <v>0</v>
      </c>
      <c r="N16" s="5">
        <f>SUM(J16:M16)</f>
        <v>851</v>
      </c>
      <c r="P16" s="8">
        <v>10102</v>
      </c>
      <c r="Q16" s="9">
        <v>25</v>
      </c>
      <c r="R16" s="10">
        <v>430</v>
      </c>
      <c r="S16" s="10">
        <v>48</v>
      </c>
      <c r="T16" s="10">
        <v>6852</v>
      </c>
      <c r="V16" s="115" t="s">
        <v>25</v>
      </c>
      <c r="W16" s="115"/>
      <c r="X16" s="115"/>
      <c r="Y16" s="115"/>
      <c r="Z16" s="13"/>
      <c r="AA16" s="13" t="s">
        <v>26</v>
      </c>
    </row>
    <row r="17" spans="1:31" x14ac:dyDescent="0.25">
      <c r="N17" s="2">
        <f>N15+N16</f>
        <v>9323</v>
      </c>
      <c r="P17" s="11">
        <f>SUM(P5:P16)</f>
        <v>117574</v>
      </c>
      <c r="Q17" s="11">
        <f>SUM(Q5:Q16)</f>
        <v>301</v>
      </c>
      <c r="R17" s="12">
        <v>401</v>
      </c>
      <c r="S17" s="12">
        <v>42</v>
      </c>
      <c r="T17" s="11">
        <f>SUM(T5:T16)</f>
        <v>61991</v>
      </c>
      <c r="V17" s="7" t="s">
        <v>11</v>
      </c>
      <c r="W17" s="7" t="s">
        <v>6</v>
      </c>
      <c r="X17" s="7" t="s">
        <v>7</v>
      </c>
      <c r="Y17" s="7" t="s">
        <v>4</v>
      </c>
      <c r="Z17" s="13"/>
      <c r="AA17" s="7" t="s">
        <v>11</v>
      </c>
    </row>
    <row r="18" spans="1:31" x14ac:dyDescent="0.25">
      <c r="A18" s="2" t="s">
        <v>12</v>
      </c>
      <c r="B18" s="1">
        <v>209</v>
      </c>
      <c r="C18" s="1">
        <v>113</v>
      </c>
      <c r="D18" s="1">
        <v>74</v>
      </c>
      <c r="E18" s="1">
        <v>16</v>
      </c>
      <c r="F18" s="2">
        <f>SUM(B18:E18)</f>
        <v>412</v>
      </c>
      <c r="H18" s="116">
        <v>25</v>
      </c>
      <c r="P18" s="11">
        <f>117574*8</f>
        <v>940592</v>
      </c>
      <c r="R18" s="111">
        <v>443</v>
      </c>
      <c r="S18" s="111"/>
      <c r="V18" s="2" t="s">
        <v>5</v>
      </c>
      <c r="W18" s="1">
        <v>73</v>
      </c>
      <c r="X18" s="1">
        <v>158</v>
      </c>
      <c r="Y18" s="1">
        <f>SUM(W18:X18)</f>
        <v>231</v>
      </c>
      <c r="AA18" s="2" t="s">
        <v>5</v>
      </c>
    </row>
    <row r="19" spans="1:31" x14ac:dyDescent="0.25">
      <c r="A19" s="4" t="s">
        <v>6</v>
      </c>
      <c r="B19" s="1">
        <v>195</v>
      </c>
      <c r="C19" s="1">
        <v>101</v>
      </c>
      <c r="D19" s="1">
        <v>62</v>
      </c>
      <c r="E19" s="1">
        <v>16</v>
      </c>
      <c r="F19" s="1">
        <f t="shared" ref="F19:F20" si="4">SUM(B19:E19)</f>
        <v>374</v>
      </c>
      <c r="H19" s="116"/>
      <c r="J19" s="5">
        <v>4459</v>
      </c>
      <c r="K19" s="5">
        <v>2174</v>
      </c>
      <c r="L19" s="5">
        <v>1200</v>
      </c>
      <c r="M19" s="5">
        <v>211</v>
      </c>
      <c r="N19" s="5">
        <f>SUM(J19:M19)</f>
        <v>8044</v>
      </c>
      <c r="V19" s="2" t="s">
        <v>8</v>
      </c>
      <c r="W19" s="1">
        <v>40</v>
      </c>
      <c r="X19" s="1">
        <v>205</v>
      </c>
      <c r="Y19" s="1">
        <f t="shared" ref="Y19:Y29" si="5">SUM(W19:X19)</f>
        <v>245</v>
      </c>
      <c r="AA19" s="2" t="s">
        <v>8</v>
      </c>
    </row>
    <row r="20" spans="1:31" x14ac:dyDescent="0.25">
      <c r="A20" s="4" t="s">
        <v>7</v>
      </c>
      <c r="B20" s="1">
        <v>14</v>
      </c>
      <c r="C20" s="1">
        <v>12</v>
      </c>
      <c r="D20" s="1">
        <v>12</v>
      </c>
      <c r="E20" s="1"/>
      <c r="F20" s="1">
        <f t="shared" si="4"/>
        <v>38</v>
      </c>
      <c r="H20" s="116"/>
      <c r="J20" s="5">
        <v>259</v>
      </c>
      <c r="K20" s="5">
        <v>263</v>
      </c>
      <c r="L20" s="5">
        <v>2858</v>
      </c>
      <c r="M20" s="5">
        <v>0</v>
      </c>
      <c r="N20" s="5">
        <f>SUM(J20:M20)</f>
        <v>3380</v>
      </c>
      <c r="T20">
        <f>T17+P18</f>
        <v>1002583</v>
      </c>
      <c r="V20" s="2" t="s">
        <v>9</v>
      </c>
      <c r="W20" s="1">
        <v>67</v>
      </c>
      <c r="X20" s="1">
        <v>158</v>
      </c>
      <c r="Y20" s="1">
        <f t="shared" si="5"/>
        <v>225</v>
      </c>
      <c r="AA20" s="2" t="s">
        <v>9</v>
      </c>
      <c r="AE20">
        <f>1765/365</f>
        <v>4.8356164383561646</v>
      </c>
    </row>
    <row r="21" spans="1:31" x14ac:dyDescent="0.25">
      <c r="N21" s="2">
        <f>N19+N20</f>
        <v>11424</v>
      </c>
      <c r="P21" s="1">
        <v>371</v>
      </c>
      <c r="Q21" s="1">
        <v>443</v>
      </c>
      <c r="V21" s="2" t="s">
        <v>10</v>
      </c>
      <c r="W21" s="1">
        <v>87</v>
      </c>
      <c r="X21" s="1">
        <v>172</v>
      </c>
      <c r="Y21" s="1">
        <f t="shared" si="5"/>
        <v>259</v>
      </c>
      <c r="AA21" s="2" t="s">
        <v>10</v>
      </c>
      <c r="AE21">
        <f>365*5</f>
        <v>1825</v>
      </c>
    </row>
    <row r="22" spans="1:31" x14ac:dyDescent="0.25">
      <c r="A22" s="2" t="s">
        <v>13</v>
      </c>
      <c r="B22" s="1">
        <v>209</v>
      </c>
      <c r="C22" s="1">
        <v>118</v>
      </c>
      <c r="D22" s="1">
        <v>74</v>
      </c>
      <c r="E22" s="1">
        <v>56</v>
      </c>
      <c r="F22" s="2">
        <f>SUM(B22:E22)</f>
        <v>457</v>
      </c>
      <c r="H22" s="116">
        <v>26</v>
      </c>
      <c r="P22" s="1">
        <v>238</v>
      </c>
      <c r="Q22" s="1">
        <v>302</v>
      </c>
      <c r="V22" s="2" t="s">
        <v>12</v>
      </c>
      <c r="W22" s="1">
        <v>67</v>
      </c>
      <c r="X22" s="1">
        <v>156</v>
      </c>
      <c r="Y22" s="1">
        <f t="shared" si="5"/>
        <v>223</v>
      </c>
      <c r="AA22" s="2" t="s">
        <v>12</v>
      </c>
    </row>
    <row r="23" spans="1:31" x14ac:dyDescent="0.25">
      <c r="A23" s="4" t="s">
        <v>6</v>
      </c>
      <c r="B23" s="1">
        <v>195</v>
      </c>
      <c r="C23" s="1">
        <v>105</v>
      </c>
      <c r="D23" s="1">
        <v>63</v>
      </c>
      <c r="E23" s="1">
        <v>56</v>
      </c>
      <c r="F23" s="1">
        <f t="shared" ref="F23:F24" si="6">SUM(B23:E23)</f>
        <v>419</v>
      </c>
      <c r="H23" s="116"/>
      <c r="J23" s="1">
        <v>4699</v>
      </c>
      <c r="K23" s="1">
        <v>2476</v>
      </c>
      <c r="L23" s="1">
        <v>1340</v>
      </c>
      <c r="M23" s="1">
        <v>869</v>
      </c>
      <c r="N23" s="1">
        <f>SUM(J23:M23)</f>
        <v>9384</v>
      </c>
      <c r="V23" s="2" t="s">
        <v>13</v>
      </c>
      <c r="W23" s="1">
        <v>81</v>
      </c>
      <c r="X23" s="1">
        <v>204</v>
      </c>
      <c r="Y23" s="1">
        <f t="shared" si="5"/>
        <v>285</v>
      </c>
      <c r="AA23" s="2" t="s">
        <v>13</v>
      </c>
    </row>
    <row r="24" spans="1:31" x14ac:dyDescent="0.25">
      <c r="A24" s="4" t="s">
        <v>7</v>
      </c>
      <c r="B24" s="1">
        <v>14</v>
      </c>
      <c r="C24" s="1">
        <v>13</v>
      </c>
      <c r="D24" s="1">
        <v>11</v>
      </c>
      <c r="E24" s="1"/>
      <c r="F24" s="1">
        <f t="shared" si="6"/>
        <v>38</v>
      </c>
      <c r="H24" s="116"/>
      <c r="J24" s="1">
        <v>277</v>
      </c>
      <c r="K24" s="1">
        <v>266</v>
      </c>
      <c r="L24" s="1">
        <v>263</v>
      </c>
      <c r="M24" s="1">
        <v>0</v>
      </c>
      <c r="N24" s="1">
        <f>SUM(J24:M24)</f>
        <v>806</v>
      </c>
      <c r="V24" s="2" t="s">
        <v>14</v>
      </c>
      <c r="W24" s="1">
        <v>75</v>
      </c>
      <c r="X24" s="1">
        <v>220</v>
      </c>
      <c r="Y24" s="1">
        <f t="shared" si="5"/>
        <v>295</v>
      </c>
      <c r="AA24" s="2" t="s">
        <v>14</v>
      </c>
    </row>
    <row r="25" spans="1:31" x14ac:dyDescent="0.25">
      <c r="N25" s="2">
        <f>N23-N24</f>
        <v>8578</v>
      </c>
      <c r="V25" s="2" t="s">
        <v>15</v>
      </c>
      <c r="W25" s="1">
        <v>78</v>
      </c>
      <c r="X25" s="1">
        <v>256</v>
      </c>
      <c r="Y25" s="1">
        <f t="shared" si="5"/>
        <v>334</v>
      </c>
      <c r="AA25" s="2" t="s">
        <v>15</v>
      </c>
    </row>
    <row r="26" spans="1:31" x14ac:dyDescent="0.25">
      <c r="A26" s="2" t="s">
        <v>14</v>
      </c>
      <c r="B26" s="1">
        <v>203</v>
      </c>
      <c r="C26" s="1">
        <v>122</v>
      </c>
      <c r="D26" s="1">
        <v>78</v>
      </c>
      <c r="E26" s="1">
        <v>64</v>
      </c>
      <c r="F26" s="2">
        <f>SUM(B26:E26)</f>
        <v>467</v>
      </c>
      <c r="H26" s="116">
        <v>26</v>
      </c>
      <c r="V26" s="2" t="s">
        <v>16</v>
      </c>
      <c r="W26" s="1">
        <v>78</v>
      </c>
      <c r="X26" s="1">
        <v>256</v>
      </c>
      <c r="Y26" s="1">
        <f t="shared" si="5"/>
        <v>334</v>
      </c>
      <c r="AA26" s="2" t="s">
        <v>16</v>
      </c>
    </row>
    <row r="27" spans="1:31" x14ac:dyDescent="0.25">
      <c r="A27" s="4" t="s">
        <v>6</v>
      </c>
      <c r="B27" s="1">
        <v>191</v>
      </c>
      <c r="C27" s="1">
        <v>108</v>
      </c>
      <c r="D27" s="1">
        <v>64</v>
      </c>
      <c r="E27" s="1">
        <v>64</v>
      </c>
      <c r="F27" s="1">
        <f t="shared" ref="F27:F28" si="7">SUM(B27:E27)</f>
        <v>427</v>
      </c>
      <c r="H27" s="116"/>
      <c r="J27" s="1">
        <v>4578</v>
      </c>
      <c r="K27" s="1">
        <v>2451</v>
      </c>
      <c r="L27" s="1">
        <v>1419</v>
      </c>
      <c r="M27" s="1">
        <v>1280</v>
      </c>
      <c r="N27" s="1">
        <f>SUM(J27:M27)</f>
        <v>9728</v>
      </c>
      <c r="V27" s="2" t="s">
        <v>17</v>
      </c>
      <c r="W27" s="1">
        <v>113</v>
      </c>
      <c r="X27" s="1">
        <v>165</v>
      </c>
      <c r="Y27" s="1">
        <f t="shared" si="5"/>
        <v>278</v>
      </c>
      <c r="AA27" s="2" t="s">
        <v>17</v>
      </c>
    </row>
    <row r="28" spans="1:31" x14ac:dyDescent="0.25">
      <c r="A28" s="4" t="s">
        <v>7</v>
      </c>
      <c r="B28" s="1">
        <v>12</v>
      </c>
      <c r="C28" s="1">
        <v>14</v>
      </c>
      <c r="D28" s="1">
        <v>14</v>
      </c>
      <c r="E28" s="1"/>
      <c r="F28" s="1">
        <f t="shared" si="7"/>
        <v>40</v>
      </c>
      <c r="H28" s="116"/>
      <c r="J28" s="1">
        <v>273</v>
      </c>
      <c r="K28" s="1">
        <v>310</v>
      </c>
      <c r="L28" s="1">
        <v>282</v>
      </c>
      <c r="M28" s="1">
        <v>0</v>
      </c>
      <c r="N28" s="1">
        <f>SUM(J28:M28)</f>
        <v>865</v>
      </c>
      <c r="V28" s="2" t="s">
        <v>18</v>
      </c>
      <c r="W28" s="1">
        <v>112</v>
      </c>
      <c r="X28" s="1">
        <v>248</v>
      </c>
      <c r="Y28" s="1">
        <f t="shared" si="5"/>
        <v>360</v>
      </c>
      <c r="AA28" s="2" t="s">
        <v>18</v>
      </c>
    </row>
    <row r="29" spans="1:31" x14ac:dyDescent="0.25">
      <c r="N29" s="2">
        <f>N27+N28</f>
        <v>10593</v>
      </c>
      <c r="V29" s="2" t="s">
        <v>19</v>
      </c>
      <c r="W29" s="1">
        <v>112</v>
      </c>
      <c r="X29" s="1">
        <v>182</v>
      </c>
      <c r="Y29" s="1">
        <f t="shared" si="5"/>
        <v>294</v>
      </c>
      <c r="AA29" s="2" t="s">
        <v>19</v>
      </c>
    </row>
    <row r="30" spans="1:31" x14ac:dyDescent="0.25">
      <c r="A30" s="2" t="s">
        <v>15</v>
      </c>
      <c r="B30" s="1">
        <v>202</v>
      </c>
      <c r="C30" s="1">
        <v>131</v>
      </c>
      <c r="D30" s="1">
        <v>137</v>
      </c>
      <c r="E30" s="1">
        <v>0</v>
      </c>
      <c r="F30" s="2">
        <f>SUM(B30:E30)</f>
        <v>470</v>
      </c>
      <c r="H30" s="116">
        <v>26</v>
      </c>
      <c r="V30" s="111" t="s">
        <v>4</v>
      </c>
      <c r="W30" s="111"/>
      <c r="X30" s="111"/>
      <c r="Y30" s="2">
        <f>SUM(Y18:Y29)</f>
        <v>3363</v>
      </c>
    </row>
    <row r="31" spans="1:31" x14ac:dyDescent="0.25">
      <c r="A31" s="4" t="s">
        <v>6</v>
      </c>
      <c r="B31" s="1">
        <v>190</v>
      </c>
      <c r="C31" s="1">
        <v>115</v>
      </c>
      <c r="D31" s="1">
        <v>121</v>
      </c>
      <c r="E31" s="1">
        <v>0</v>
      </c>
      <c r="F31" s="1">
        <f t="shared" ref="F31:F32" si="8">SUM(B31:E31)</f>
        <v>426</v>
      </c>
      <c r="H31" s="116"/>
      <c r="J31" s="1">
        <v>4535</v>
      </c>
      <c r="K31" s="1">
        <v>2574</v>
      </c>
      <c r="L31" s="1">
        <v>2511</v>
      </c>
      <c r="M31" s="1">
        <v>0</v>
      </c>
      <c r="N31" s="1">
        <f>SUM(J31:M31)</f>
        <v>9620</v>
      </c>
    </row>
    <row r="32" spans="1:31" x14ac:dyDescent="0.25">
      <c r="A32" s="4" t="s">
        <v>7</v>
      </c>
      <c r="B32" s="1">
        <v>12</v>
      </c>
      <c r="C32" s="1">
        <v>16</v>
      </c>
      <c r="D32" s="1">
        <v>16</v>
      </c>
      <c r="E32" s="1">
        <v>0</v>
      </c>
      <c r="F32" s="1">
        <f t="shared" si="8"/>
        <v>44</v>
      </c>
      <c r="H32" s="116"/>
      <c r="J32" s="1">
        <v>255</v>
      </c>
      <c r="K32" s="1">
        <v>349</v>
      </c>
      <c r="L32" s="1">
        <v>318</v>
      </c>
      <c r="M32" s="1">
        <v>0</v>
      </c>
      <c r="N32" s="1">
        <f>SUM(J32:M32)</f>
        <v>922</v>
      </c>
    </row>
    <row r="33" spans="1:14" x14ac:dyDescent="0.25">
      <c r="N33" s="2">
        <f>N31+N32</f>
        <v>10542</v>
      </c>
    </row>
    <row r="34" spans="1:14" x14ac:dyDescent="0.25">
      <c r="A34" s="2" t="s">
        <v>16</v>
      </c>
      <c r="B34" s="1">
        <v>200</v>
      </c>
      <c r="C34" s="1">
        <v>130</v>
      </c>
      <c r="D34" s="1">
        <v>138</v>
      </c>
      <c r="E34" s="1">
        <v>0</v>
      </c>
      <c r="F34" s="2">
        <f>SUM(B34:E34)</f>
        <v>468</v>
      </c>
      <c r="H34" s="116">
        <v>25</v>
      </c>
    </row>
    <row r="35" spans="1:14" x14ac:dyDescent="0.25">
      <c r="A35" s="4" t="s">
        <v>6</v>
      </c>
      <c r="B35" s="1">
        <v>188</v>
      </c>
      <c r="C35" s="1">
        <v>115</v>
      </c>
      <c r="D35" s="1">
        <v>121</v>
      </c>
      <c r="E35" s="1">
        <v>0</v>
      </c>
      <c r="F35" s="1">
        <f t="shared" ref="F35:F36" si="9">SUM(B35:E35)</f>
        <v>424</v>
      </c>
      <c r="H35" s="116"/>
      <c r="J35" s="1"/>
      <c r="K35" s="1"/>
      <c r="L35" s="1"/>
      <c r="M35" s="1"/>
      <c r="N35" s="1">
        <v>9237</v>
      </c>
    </row>
    <row r="36" spans="1:14" x14ac:dyDescent="0.25">
      <c r="A36" s="4" t="s">
        <v>7</v>
      </c>
      <c r="B36" s="1">
        <v>12</v>
      </c>
      <c r="C36" s="1">
        <v>15</v>
      </c>
      <c r="D36" s="1">
        <v>17</v>
      </c>
      <c r="E36" s="1">
        <v>0</v>
      </c>
      <c r="F36" s="1">
        <f t="shared" si="9"/>
        <v>44</v>
      </c>
      <c r="H36" s="116"/>
      <c r="J36" s="1"/>
      <c r="K36" s="1"/>
      <c r="L36" s="1"/>
      <c r="M36" s="1"/>
      <c r="N36" s="1">
        <v>923</v>
      </c>
    </row>
    <row r="37" spans="1:14" x14ac:dyDescent="0.25">
      <c r="N37" s="2">
        <f>SUM(N35:N36)</f>
        <v>10160</v>
      </c>
    </row>
    <row r="38" spans="1:14" x14ac:dyDescent="0.25">
      <c r="A38" s="2" t="s">
        <v>17</v>
      </c>
      <c r="B38" s="1">
        <v>197</v>
      </c>
      <c r="C38" s="1">
        <v>129</v>
      </c>
      <c r="D38" s="1">
        <v>136</v>
      </c>
      <c r="E38" s="1">
        <v>0</v>
      </c>
      <c r="F38" s="2">
        <f>SUM(B38:E38)</f>
        <v>462</v>
      </c>
      <c r="H38" s="116">
        <v>23</v>
      </c>
    </row>
    <row r="39" spans="1:14" x14ac:dyDescent="0.25">
      <c r="A39" s="4" t="s">
        <v>6</v>
      </c>
      <c r="B39" s="1">
        <v>185</v>
      </c>
      <c r="C39" s="1">
        <v>112</v>
      </c>
      <c r="D39" s="1">
        <v>119</v>
      </c>
      <c r="E39" s="1">
        <v>0</v>
      </c>
      <c r="F39" s="1">
        <f t="shared" ref="F39:F40" si="10">SUM(B39:E39)</f>
        <v>416</v>
      </c>
      <c r="H39" s="116"/>
      <c r="J39" s="1"/>
      <c r="K39" s="1"/>
      <c r="L39" s="1"/>
      <c r="M39" s="1"/>
      <c r="N39" s="1">
        <v>8501</v>
      </c>
    </row>
    <row r="40" spans="1:14" x14ac:dyDescent="0.25">
      <c r="A40" s="4" t="s">
        <v>7</v>
      </c>
      <c r="B40" s="1">
        <v>12</v>
      </c>
      <c r="C40" s="1">
        <v>17</v>
      </c>
      <c r="D40" s="1">
        <v>17</v>
      </c>
      <c r="E40" s="1">
        <v>0</v>
      </c>
      <c r="F40" s="1">
        <f t="shared" si="10"/>
        <v>46</v>
      </c>
      <c r="H40" s="116"/>
      <c r="J40" s="1"/>
      <c r="K40" s="1"/>
      <c r="L40" s="1"/>
      <c r="M40" s="1"/>
      <c r="N40" s="1">
        <v>924</v>
      </c>
    </row>
    <row r="41" spans="1:14" x14ac:dyDescent="0.25">
      <c r="N41" s="2">
        <f>SUM(N39:N40)</f>
        <v>9425</v>
      </c>
    </row>
    <row r="42" spans="1:14" x14ac:dyDescent="0.25">
      <c r="A42" s="2" t="s">
        <v>18</v>
      </c>
      <c r="B42" s="1">
        <v>193</v>
      </c>
      <c r="C42" s="1">
        <v>131</v>
      </c>
      <c r="D42" s="1">
        <v>150</v>
      </c>
      <c r="E42" s="1">
        <v>0</v>
      </c>
      <c r="F42" s="2">
        <f>SUM(B42:E42)</f>
        <v>474</v>
      </c>
      <c r="H42" s="116">
        <v>25</v>
      </c>
    </row>
    <row r="43" spans="1:14" x14ac:dyDescent="0.25">
      <c r="A43" s="4" t="s">
        <v>6</v>
      </c>
      <c r="B43" s="1">
        <v>181</v>
      </c>
      <c r="C43" s="1">
        <v>114</v>
      </c>
      <c r="D43" s="1">
        <v>132</v>
      </c>
      <c r="E43" s="1">
        <v>0</v>
      </c>
      <c r="F43" s="1">
        <f t="shared" ref="F43" si="11">SUM(B43:E43)</f>
        <v>427</v>
      </c>
      <c r="H43" s="116"/>
      <c r="J43" s="1"/>
      <c r="K43" s="1"/>
      <c r="L43" s="1"/>
      <c r="M43" s="1"/>
      <c r="N43" s="1">
        <v>9129</v>
      </c>
    </row>
    <row r="44" spans="1:14" x14ac:dyDescent="0.25">
      <c r="A44" s="4" t="s">
        <v>7</v>
      </c>
      <c r="B44" s="1">
        <v>12</v>
      </c>
      <c r="C44" s="1">
        <v>17</v>
      </c>
      <c r="D44" s="1">
        <v>18</v>
      </c>
      <c r="E44" s="1">
        <v>0</v>
      </c>
      <c r="F44" s="1">
        <f>SUM(B44:E44)</f>
        <v>47</v>
      </c>
      <c r="H44" s="116"/>
      <c r="J44" s="1"/>
      <c r="K44" s="1"/>
      <c r="L44" s="1"/>
      <c r="M44" s="1"/>
      <c r="N44" s="1">
        <v>1006</v>
      </c>
    </row>
    <row r="45" spans="1:14" x14ac:dyDescent="0.25">
      <c r="N45" s="2">
        <f>SUM(N43:N44)</f>
        <v>10135</v>
      </c>
    </row>
    <row r="46" spans="1:14" x14ac:dyDescent="0.25">
      <c r="A46" s="2" t="s">
        <v>19</v>
      </c>
      <c r="B46" s="1">
        <v>191</v>
      </c>
      <c r="C46" s="1">
        <v>137</v>
      </c>
      <c r="D46" s="1">
        <v>150</v>
      </c>
      <c r="E46" s="1">
        <v>0</v>
      </c>
      <c r="F46" s="2">
        <f>SUM(B46:E46)</f>
        <v>478</v>
      </c>
      <c r="H46" s="116">
        <v>25</v>
      </c>
    </row>
    <row r="47" spans="1:14" x14ac:dyDescent="0.25">
      <c r="A47" s="4" t="s">
        <v>6</v>
      </c>
      <c r="B47" s="1">
        <v>179</v>
      </c>
      <c r="C47" s="1">
        <v>117</v>
      </c>
      <c r="D47" s="1">
        <v>134</v>
      </c>
      <c r="E47" s="1">
        <v>0</v>
      </c>
      <c r="F47" s="1">
        <f t="shared" ref="F47:F48" si="12">SUM(B47:E47)</f>
        <v>430</v>
      </c>
      <c r="H47" s="116"/>
      <c r="J47" s="1"/>
      <c r="K47" s="1"/>
      <c r="L47" s="1"/>
      <c r="M47" s="1"/>
      <c r="N47" s="1">
        <v>9119</v>
      </c>
    </row>
    <row r="48" spans="1:14" x14ac:dyDescent="0.25">
      <c r="A48" s="4" t="s">
        <v>7</v>
      </c>
      <c r="B48" s="1">
        <v>12</v>
      </c>
      <c r="C48" s="1">
        <v>20</v>
      </c>
      <c r="D48" s="1">
        <v>16</v>
      </c>
      <c r="E48" s="1">
        <v>0</v>
      </c>
      <c r="F48" s="1">
        <f t="shared" si="12"/>
        <v>48</v>
      </c>
      <c r="H48" s="116"/>
      <c r="J48" s="1"/>
      <c r="K48" s="1"/>
      <c r="L48" s="1"/>
      <c r="M48" s="1"/>
      <c r="N48" s="1">
        <v>983</v>
      </c>
    </row>
    <row r="49" spans="14:14" x14ac:dyDescent="0.25">
      <c r="N49" s="2">
        <f>SUM(N47:N48)</f>
        <v>10102</v>
      </c>
    </row>
  </sheetData>
  <mergeCells count="17">
    <mergeCell ref="H46:H48"/>
    <mergeCell ref="H2:H4"/>
    <mergeCell ref="H6:H8"/>
    <mergeCell ref="H10:H12"/>
    <mergeCell ref="H14:H16"/>
    <mergeCell ref="H18:H20"/>
    <mergeCell ref="H22:H24"/>
    <mergeCell ref="H30:H32"/>
    <mergeCell ref="H26:H28"/>
    <mergeCell ref="H34:H36"/>
    <mergeCell ref="H38:H40"/>
    <mergeCell ref="H42:H44"/>
    <mergeCell ref="R3:S3"/>
    <mergeCell ref="R18:S18"/>
    <mergeCell ref="V14:Z14"/>
    <mergeCell ref="V16:Y16"/>
    <mergeCell ref="V30:X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78"/>
  <sheetViews>
    <sheetView topLeftCell="C61" zoomScale="85" zoomScaleNormal="85" workbookViewId="0">
      <selection activeCell="Z1" sqref="Z1"/>
    </sheetView>
  </sheetViews>
  <sheetFormatPr defaultRowHeight="15" x14ac:dyDescent="0.25"/>
  <cols>
    <col min="1" max="1" width="15.5703125" customWidth="1"/>
    <col min="2" max="2" width="17.5703125" customWidth="1"/>
    <col min="3" max="3" width="7.28515625" style="22" customWidth="1"/>
    <col min="4" max="4" width="13.28515625" customWidth="1"/>
    <col min="5" max="5" width="15.140625" customWidth="1"/>
    <col min="7" max="7" width="11.7109375" bestFit="1" customWidth="1"/>
    <col min="8" max="8" width="3.5703125" customWidth="1"/>
    <col min="9" max="9" width="12.85546875" customWidth="1"/>
    <col min="10" max="10" width="16.42578125" customWidth="1"/>
    <col min="12" max="12" width="14.28515625" bestFit="1" customWidth="1"/>
    <col min="13" max="13" width="13.85546875" bestFit="1" customWidth="1"/>
    <col min="14" max="14" width="9.7109375" bestFit="1" customWidth="1"/>
    <col min="16" max="16" width="9.140625" customWidth="1"/>
    <col min="17" max="17" width="10.85546875" customWidth="1"/>
    <col min="18" max="18" width="16.42578125" bestFit="1" customWidth="1"/>
    <col min="20" max="20" width="6.7109375" bestFit="1" customWidth="1"/>
    <col min="21" max="21" width="20.42578125" bestFit="1" customWidth="1"/>
    <col min="22" max="22" width="16.7109375" customWidth="1"/>
    <col min="23" max="23" width="14.85546875" customWidth="1"/>
    <col min="24" max="24" width="43.5703125" customWidth="1"/>
    <col min="25" max="25" width="31.85546875" customWidth="1"/>
    <col min="26" max="26" width="20.5703125" customWidth="1"/>
    <col min="27" max="27" width="17" customWidth="1"/>
    <col min="29" max="29" width="44.85546875" bestFit="1" customWidth="1"/>
    <col min="30" max="30" width="15.5703125" bestFit="1" customWidth="1"/>
    <col min="31" max="31" width="14.42578125" bestFit="1" customWidth="1"/>
  </cols>
  <sheetData>
    <row r="3" spans="1:26" ht="15.75" thickBot="1" x14ac:dyDescent="0.3">
      <c r="A3" s="117" t="s">
        <v>29</v>
      </c>
      <c r="B3" s="118"/>
      <c r="C3" s="24"/>
      <c r="D3" s="60" t="s">
        <v>24</v>
      </c>
      <c r="E3" s="61" t="s">
        <v>31</v>
      </c>
      <c r="G3" s="7" t="s">
        <v>40</v>
      </c>
      <c r="I3" s="117" t="s">
        <v>30</v>
      </c>
      <c r="J3" s="118"/>
      <c r="T3" s="117" t="s">
        <v>85</v>
      </c>
      <c r="U3" s="119"/>
      <c r="V3" s="118"/>
    </row>
    <row r="4" spans="1:26" ht="15.75" thickBot="1" x14ac:dyDescent="0.3">
      <c r="A4" s="7" t="s">
        <v>34</v>
      </c>
      <c r="B4" s="7" t="s">
        <v>4</v>
      </c>
      <c r="C4" s="25"/>
      <c r="D4" s="7" t="s">
        <v>34</v>
      </c>
      <c r="E4" s="7" t="s">
        <v>4</v>
      </c>
      <c r="F4" s="6"/>
      <c r="G4" s="7" t="s">
        <v>20</v>
      </c>
      <c r="H4" s="6"/>
      <c r="I4" s="7" t="s">
        <v>34</v>
      </c>
      <c r="J4" s="7" t="s">
        <v>4</v>
      </c>
      <c r="T4" s="7" t="s">
        <v>11</v>
      </c>
      <c r="U4" s="7" t="s">
        <v>45</v>
      </c>
      <c r="V4" s="7" t="s">
        <v>4</v>
      </c>
      <c r="W4" s="120" t="s">
        <v>67</v>
      </c>
      <c r="X4" s="121"/>
      <c r="Y4" s="121"/>
      <c r="Z4" s="122"/>
    </row>
    <row r="5" spans="1:26" ht="20.100000000000001" customHeight="1" thickBot="1" x14ac:dyDescent="0.3">
      <c r="A5" s="123" t="s">
        <v>5</v>
      </c>
      <c r="B5" s="124"/>
      <c r="D5" s="112" t="s">
        <v>5</v>
      </c>
      <c r="E5" s="114"/>
      <c r="G5" s="125">
        <v>24</v>
      </c>
      <c r="I5" s="128" t="s">
        <v>32</v>
      </c>
      <c r="J5" s="129"/>
      <c r="T5" s="2" t="s">
        <v>5</v>
      </c>
      <c r="U5" s="14">
        <v>11793660</v>
      </c>
      <c r="V5" s="14">
        <f t="shared" ref="V5:V16" si="0">SUM(U5:U5)</f>
        <v>11793660</v>
      </c>
      <c r="W5" s="33" t="s">
        <v>47</v>
      </c>
      <c r="X5" s="64" t="s">
        <v>48</v>
      </c>
      <c r="Y5" s="64" t="s">
        <v>49</v>
      </c>
      <c r="Z5" s="64" t="s">
        <v>50</v>
      </c>
    </row>
    <row r="6" spans="1:26" ht="20.100000000000001" customHeight="1" thickBot="1" x14ac:dyDescent="0.3">
      <c r="A6" s="45" t="s">
        <v>6</v>
      </c>
      <c r="B6" s="32">
        <v>441</v>
      </c>
      <c r="D6" s="2" t="s">
        <v>6</v>
      </c>
      <c r="E6" s="23">
        <v>5183</v>
      </c>
      <c r="G6" s="126"/>
      <c r="H6" s="16"/>
      <c r="I6" s="2" t="s">
        <v>6</v>
      </c>
      <c r="J6" s="1">
        <v>10254</v>
      </c>
      <c r="L6" s="130" t="s">
        <v>23</v>
      </c>
      <c r="M6" s="131"/>
      <c r="N6" s="131"/>
      <c r="O6" s="131"/>
      <c r="P6" s="131"/>
      <c r="Q6" s="131"/>
      <c r="R6" s="132"/>
      <c r="T6" s="2" t="s">
        <v>8</v>
      </c>
      <c r="U6" s="14"/>
      <c r="V6" s="14">
        <f>SUM(U6:U6)</f>
        <v>0</v>
      </c>
      <c r="W6" s="35">
        <v>1</v>
      </c>
      <c r="X6" s="36" t="s">
        <v>51</v>
      </c>
      <c r="Y6" s="37" t="s">
        <v>52</v>
      </c>
      <c r="Z6" s="67">
        <v>617047381.02999997</v>
      </c>
    </row>
    <row r="7" spans="1:26" ht="20.100000000000001" customHeight="1" thickBot="1" x14ac:dyDescent="0.3">
      <c r="A7" s="45" t="s">
        <v>7</v>
      </c>
      <c r="B7" s="32">
        <v>38</v>
      </c>
      <c r="D7" s="2" t="s">
        <v>7</v>
      </c>
      <c r="E7" s="23">
        <v>426</v>
      </c>
      <c r="G7" s="127"/>
      <c r="H7" s="16"/>
      <c r="I7" s="2" t="s">
        <v>7</v>
      </c>
      <c r="J7" s="1">
        <v>913</v>
      </c>
      <c r="L7" s="7" t="s">
        <v>21</v>
      </c>
      <c r="M7" s="7" t="s">
        <v>36</v>
      </c>
      <c r="N7" s="7" t="s">
        <v>6</v>
      </c>
      <c r="O7" s="7" t="s">
        <v>7</v>
      </c>
      <c r="P7" s="7" t="s">
        <v>37</v>
      </c>
      <c r="Q7" s="7" t="s">
        <v>38</v>
      </c>
      <c r="R7" s="7" t="s">
        <v>39</v>
      </c>
      <c r="T7" s="2" t="s">
        <v>9</v>
      </c>
      <c r="U7" s="14">
        <v>12417258</v>
      </c>
      <c r="V7" s="14">
        <f t="shared" si="0"/>
        <v>12417258</v>
      </c>
      <c r="W7" s="35">
        <v>2</v>
      </c>
      <c r="X7" s="36" t="s">
        <v>53</v>
      </c>
      <c r="Y7" s="37" t="s">
        <v>54</v>
      </c>
      <c r="Z7" s="67">
        <v>397956.45</v>
      </c>
    </row>
    <row r="8" spans="1:26" ht="20.100000000000001" customHeight="1" thickBot="1" x14ac:dyDescent="0.3">
      <c r="A8" s="45" t="s">
        <v>33</v>
      </c>
      <c r="B8" s="45">
        <f>SUM(B6:B7)</f>
        <v>479</v>
      </c>
      <c r="C8" s="27"/>
      <c r="D8" s="2" t="s">
        <v>33</v>
      </c>
      <c r="E8" s="26">
        <f>SUM(E6:E7)</f>
        <v>5609</v>
      </c>
      <c r="F8" s="28"/>
      <c r="G8" s="18"/>
      <c r="H8" s="28"/>
      <c r="I8" s="2" t="s">
        <v>33</v>
      </c>
      <c r="J8" s="2">
        <f>J6+J7</f>
        <v>11167</v>
      </c>
      <c r="K8" s="6" t="s">
        <v>40</v>
      </c>
      <c r="L8" s="21">
        <f>+J8</f>
        <v>11167</v>
      </c>
      <c r="M8" s="52">
        <v>24</v>
      </c>
      <c r="N8" s="21">
        <f>+B6</f>
        <v>441</v>
      </c>
      <c r="O8" s="21">
        <f>+B7</f>
        <v>38</v>
      </c>
      <c r="P8" s="21">
        <f>+E6</f>
        <v>5183</v>
      </c>
      <c r="Q8" s="21">
        <f>+E7</f>
        <v>426</v>
      </c>
      <c r="R8" s="29">
        <f>+P8+Q8</f>
        <v>5609</v>
      </c>
      <c r="T8" s="2" t="s">
        <v>10</v>
      </c>
      <c r="U8" s="14">
        <v>12273211</v>
      </c>
      <c r="V8" s="14">
        <f t="shared" si="0"/>
        <v>12273211</v>
      </c>
      <c r="W8" s="35">
        <v>3</v>
      </c>
      <c r="X8" s="36" t="s">
        <v>55</v>
      </c>
      <c r="Y8" s="37" t="s">
        <v>56</v>
      </c>
      <c r="Z8" s="67" t="s">
        <v>56</v>
      </c>
    </row>
    <row r="9" spans="1:26" ht="20.100000000000001" customHeight="1" thickBot="1" x14ac:dyDescent="0.3">
      <c r="A9" s="2"/>
      <c r="B9" s="1"/>
      <c r="C9" s="25"/>
      <c r="D9" s="2"/>
      <c r="E9" s="23"/>
      <c r="G9" s="7" t="s">
        <v>8</v>
      </c>
      <c r="I9" s="2"/>
      <c r="J9" s="2"/>
      <c r="K9" s="6" t="s">
        <v>8</v>
      </c>
      <c r="L9" s="21">
        <f>+J14</f>
        <v>10709</v>
      </c>
      <c r="M9" s="52">
        <v>25</v>
      </c>
      <c r="N9" s="21">
        <f>+B12</f>
        <v>455</v>
      </c>
      <c r="O9" s="21">
        <f>+B13</f>
        <v>46</v>
      </c>
      <c r="P9" s="21">
        <f>+E12</f>
        <v>7114</v>
      </c>
      <c r="Q9" s="21">
        <f>+E13</f>
        <v>267</v>
      </c>
      <c r="R9" s="29">
        <f t="shared" ref="R9:R19" si="1">+P9+Q9</f>
        <v>7381</v>
      </c>
      <c r="T9" s="2" t="s">
        <v>12</v>
      </c>
      <c r="U9" s="14">
        <v>12545599</v>
      </c>
      <c r="V9" s="14">
        <f t="shared" si="0"/>
        <v>12545599</v>
      </c>
      <c r="W9" s="35">
        <v>4</v>
      </c>
      <c r="X9" s="36" t="s">
        <v>57</v>
      </c>
      <c r="Y9" s="37" t="s">
        <v>58</v>
      </c>
      <c r="Z9" s="67">
        <v>84233510.230000004</v>
      </c>
    </row>
    <row r="10" spans="1:26" ht="20.100000000000001" customHeight="1" thickBot="1" x14ac:dyDescent="0.3">
      <c r="A10" s="7" t="s">
        <v>11</v>
      </c>
      <c r="B10" s="7" t="s">
        <v>0</v>
      </c>
      <c r="D10" s="7" t="s">
        <v>11</v>
      </c>
      <c r="E10" s="61" t="s">
        <v>2</v>
      </c>
      <c r="F10" s="6"/>
      <c r="G10" s="7" t="s">
        <v>20</v>
      </c>
      <c r="H10" s="6"/>
      <c r="I10" s="7" t="s">
        <v>0</v>
      </c>
      <c r="J10" s="7" t="s">
        <v>4</v>
      </c>
      <c r="K10" s="6" t="s">
        <v>41</v>
      </c>
      <c r="L10" s="21">
        <f>+E20</f>
        <v>8782</v>
      </c>
      <c r="M10" s="21">
        <v>26</v>
      </c>
      <c r="N10" s="21">
        <v>453</v>
      </c>
      <c r="O10" s="29">
        <v>48</v>
      </c>
      <c r="P10" s="29">
        <v>8209</v>
      </c>
      <c r="Q10" s="29">
        <v>573</v>
      </c>
      <c r="R10" s="29">
        <f t="shared" si="1"/>
        <v>8782</v>
      </c>
      <c r="T10" s="2" t="s">
        <v>13</v>
      </c>
      <c r="U10" s="14">
        <v>12765404</v>
      </c>
      <c r="V10" s="14">
        <f t="shared" si="0"/>
        <v>12765404</v>
      </c>
      <c r="W10" s="35">
        <v>5</v>
      </c>
      <c r="X10" s="36" t="s">
        <v>59</v>
      </c>
      <c r="Y10" s="37" t="s">
        <v>60</v>
      </c>
      <c r="Z10" s="67">
        <v>70756660.950000003</v>
      </c>
    </row>
    <row r="11" spans="1:26" ht="20.100000000000001" customHeight="1" thickBot="1" x14ac:dyDescent="0.3">
      <c r="A11" s="112" t="s">
        <v>35</v>
      </c>
      <c r="B11" s="114"/>
      <c r="D11" s="112" t="s">
        <v>35</v>
      </c>
      <c r="E11" s="114"/>
      <c r="G11" s="125">
        <v>24</v>
      </c>
      <c r="I11" s="128" t="s">
        <v>35</v>
      </c>
      <c r="J11" s="129"/>
      <c r="K11" s="6" t="s">
        <v>42</v>
      </c>
      <c r="L11" s="21">
        <f>+J26</f>
        <v>10528</v>
      </c>
      <c r="M11" s="21">
        <v>23</v>
      </c>
      <c r="N11" s="21">
        <v>450</v>
      </c>
      <c r="O11" s="29">
        <v>49</v>
      </c>
      <c r="P11" s="29">
        <v>6152</v>
      </c>
      <c r="Q11" s="29">
        <v>588</v>
      </c>
      <c r="R11" s="29">
        <f t="shared" si="1"/>
        <v>6740</v>
      </c>
      <c r="T11" s="2" t="s">
        <v>14</v>
      </c>
      <c r="U11" s="14">
        <v>12788542</v>
      </c>
      <c r="V11" s="14">
        <f t="shared" si="0"/>
        <v>12788542</v>
      </c>
      <c r="W11" s="35">
        <v>6</v>
      </c>
      <c r="X11" s="36" t="s">
        <v>61</v>
      </c>
      <c r="Y11" s="38" t="s">
        <v>56</v>
      </c>
      <c r="Z11" s="67" t="s">
        <v>56</v>
      </c>
    </row>
    <row r="12" spans="1:26" ht="20.100000000000001" customHeight="1" thickBot="1" x14ac:dyDescent="0.3">
      <c r="A12" s="4" t="s">
        <v>6</v>
      </c>
      <c r="B12" s="1">
        <v>455</v>
      </c>
      <c r="D12" s="4" t="s">
        <v>6</v>
      </c>
      <c r="E12" s="23">
        <v>7114</v>
      </c>
      <c r="G12" s="126"/>
      <c r="I12" s="2" t="s">
        <v>6</v>
      </c>
      <c r="J12" s="1">
        <v>9722</v>
      </c>
      <c r="K12" s="6" t="s">
        <v>12</v>
      </c>
      <c r="L12" s="21">
        <f>+J32</f>
        <v>10676</v>
      </c>
      <c r="M12" s="21">
        <v>25</v>
      </c>
      <c r="N12" s="59">
        <v>453</v>
      </c>
      <c r="O12" s="29">
        <v>56</v>
      </c>
      <c r="P12" s="29">
        <v>6143</v>
      </c>
      <c r="Q12" s="29">
        <v>473</v>
      </c>
      <c r="R12" s="29">
        <f t="shared" si="1"/>
        <v>6616</v>
      </c>
      <c r="T12" s="2" t="s">
        <v>15</v>
      </c>
      <c r="U12" s="14">
        <v>12474032</v>
      </c>
      <c r="V12" s="14">
        <f t="shared" si="0"/>
        <v>12474032</v>
      </c>
      <c r="W12" s="35">
        <v>7</v>
      </c>
      <c r="X12" s="36" t="s">
        <v>62</v>
      </c>
      <c r="Y12" s="37" t="s">
        <v>63</v>
      </c>
      <c r="Z12" s="67">
        <v>126457503.04000001</v>
      </c>
    </row>
    <row r="13" spans="1:26" ht="20.100000000000001" customHeight="1" thickBot="1" x14ac:dyDescent="0.3">
      <c r="A13" s="4" t="s">
        <v>7</v>
      </c>
      <c r="B13" s="1">
        <v>46</v>
      </c>
      <c r="D13" s="4" t="s">
        <v>7</v>
      </c>
      <c r="E13" s="23">
        <v>267</v>
      </c>
      <c r="G13" s="127"/>
      <c r="I13" s="2" t="s">
        <v>7</v>
      </c>
      <c r="J13" s="1">
        <v>987</v>
      </c>
      <c r="K13" s="6" t="s">
        <v>46</v>
      </c>
      <c r="L13" s="21">
        <f>+J38</f>
        <v>11297</v>
      </c>
      <c r="M13" s="52">
        <v>26</v>
      </c>
      <c r="N13" s="29">
        <v>452</v>
      </c>
      <c r="O13" s="29">
        <v>59</v>
      </c>
      <c r="P13" s="29">
        <v>6660</v>
      </c>
      <c r="Q13" s="29">
        <v>1190</v>
      </c>
      <c r="R13" s="29">
        <f t="shared" si="1"/>
        <v>7850</v>
      </c>
      <c r="T13" s="2" t="s">
        <v>16</v>
      </c>
      <c r="U13" s="14"/>
      <c r="V13" s="14">
        <f t="shared" si="0"/>
        <v>0</v>
      </c>
      <c r="W13" s="35">
        <v>8</v>
      </c>
      <c r="X13" s="36" t="s">
        <v>64</v>
      </c>
      <c r="Y13" s="37" t="s">
        <v>56</v>
      </c>
      <c r="Z13" s="67">
        <v>18003096.300000001</v>
      </c>
    </row>
    <row r="14" spans="1:26" ht="20.100000000000001" customHeight="1" thickBot="1" x14ac:dyDescent="0.3">
      <c r="A14" s="2" t="s">
        <v>4</v>
      </c>
      <c r="B14" s="1">
        <f>SUM(B12:B13)</f>
        <v>501</v>
      </c>
      <c r="D14" s="2" t="s">
        <v>4</v>
      </c>
      <c r="E14" s="23">
        <f>SUM(E12:E13)</f>
        <v>7381</v>
      </c>
      <c r="G14" s="18"/>
      <c r="I14" s="2" t="s">
        <v>33</v>
      </c>
      <c r="J14" s="2">
        <f>J12+J13</f>
        <v>10709</v>
      </c>
      <c r="K14" s="6" t="s">
        <v>43</v>
      </c>
      <c r="L14" s="21">
        <f>+J44</f>
        <v>11502</v>
      </c>
      <c r="M14" s="52">
        <v>26</v>
      </c>
      <c r="N14" s="29">
        <v>449</v>
      </c>
      <c r="O14" s="29">
        <v>59</v>
      </c>
      <c r="P14" s="29">
        <v>5617</v>
      </c>
      <c r="Q14" s="29">
        <v>663</v>
      </c>
      <c r="R14" s="29">
        <f t="shared" si="1"/>
        <v>6280</v>
      </c>
      <c r="T14" s="2" t="s">
        <v>17</v>
      </c>
      <c r="U14" s="14">
        <v>12999531</v>
      </c>
      <c r="V14" s="14">
        <f t="shared" si="0"/>
        <v>12999531</v>
      </c>
      <c r="W14" s="35">
        <v>9</v>
      </c>
      <c r="X14" s="36" t="s">
        <v>65</v>
      </c>
      <c r="Y14" s="37" t="s">
        <v>66</v>
      </c>
      <c r="Z14" s="67">
        <v>16578858.5</v>
      </c>
    </row>
    <row r="15" spans="1:26" ht="20.100000000000001" customHeight="1" thickBot="1" x14ac:dyDescent="0.3">
      <c r="A15" s="19"/>
      <c r="B15" s="20"/>
      <c r="C15" s="25"/>
      <c r="D15" s="19"/>
      <c r="E15" s="20"/>
      <c r="G15" s="7" t="s">
        <v>41</v>
      </c>
      <c r="J15" s="2"/>
      <c r="K15" s="6" t="s">
        <v>15</v>
      </c>
      <c r="L15" s="21">
        <f>+J50</f>
        <v>10449</v>
      </c>
      <c r="M15" s="52">
        <v>26</v>
      </c>
      <c r="N15" s="29">
        <v>425</v>
      </c>
      <c r="O15" s="29">
        <v>55</v>
      </c>
      <c r="P15" s="29">
        <v>7449</v>
      </c>
      <c r="Q15" s="29">
        <v>918</v>
      </c>
      <c r="R15" s="29">
        <f t="shared" si="1"/>
        <v>8367</v>
      </c>
      <c r="T15" s="2" t="s">
        <v>18</v>
      </c>
      <c r="U15" s="14">
        <v>12937123</v>
      </c>
      <c r="V15" s="14">
        <f t="shared" si="0"/>
        <v>12937123</v>
      </c>
      <c r="W15" s="39"/>
      <c r="X15" s="40" t="s">
        <v>33</v>
      </c>
      <c r="Y15" s="68">
        <v>3143663.38</v>
      </c>
      <c r="Z15" s="68">
        <v>933474966.50999999</v>
      </c>
    </row>
    <row r="16" spans="1:26" x14ac:dyDescent="0.25">
      <c r="A16" s="7" t="s">
        <v>11</v>
      </c>
      <c r="B16" s="7" t="s">
        <v>0</v>
      </c>
      <c r="D16" s="7" t="s">
        <v>11</v>
      </c>
      <c r="E16" s="61" t="s">
        <v>2</v>
      </c>
      <c r="F16" s="6"/>
      <c r="G16" s="7" t="s">
        <v>20</v>
      </c>
      <c r="H16" s="6"/>
      <c r="I16" s="7" t="s">
        <v>0</v>
      </c>
      <c r="J16" s="7" t="s">
        <v>4</v>
      </c>
      <c r="K16" s="6" t="s">
        <v>16</v>
      </c>
      <c r="L16" s="21">
        <f>+J56</f>
        <v>10354</v>
      </c>
      <c r="M16" s="52">
        <v>25</v>
      </c>
      <c r="N16" s="29">
        <v>412</v>
      </c>
      <c r="O16" s="29">
        <v>51</v>
      </c>
      <c r="P16" s="29">
        <v>3752</v>
      </c>
      <c r="Q16" s="29">
        <v>48</v>
      </c>
      <c r="R16" s="29">
        <f t="shared" si="1"/>
        <v>3800</v>
      </c>
      <c r="T16" s="2" t="s">
        <v>19</v>
      </c>
      <c r="U16" s="14">
        <v>12796815</v>
      </c>
      <c r="V16" s="14">
        <f t="shared" si="0"/>
        <v>12796815</v>
      </c>
    </row>
    <row r="17" spans="1:28" x14ac:dyDescent="0.25">
      <c r="A17" s="112" t="s">
        <v>9</v>
      </c>
      <c r="B17" s="114"/>
      <c r="D17" s="112" t="s">
        <v>9</v>
      </c>
      <c r="E17" s="114"/>
      <c r="G17" s="125">
        <v>26</v>
      </c>
      <c r="I17" s="128"/>
      <c r="J17" s="129"/>
      <c r="K17" s="6" t="s">
        <v>17</v>
      </c>
      <c r="L17" s="21">
        <f>+J62</f>
        <v>9129</v>
      </c>
      <c r="M17" s="52">
        <v>24</v>
      </c>
      <c r="N17" s="29">
        <v>396</v>
      </c>
      <c r="O17" s="29">
        <v>49</v>
      </c>
      <c r="P17" s="29">
        <v>3339</v>
      </c>
      <c r="Q17" s="29">
        <v>90</v>
      </c>
      <c r="R17" s="29">
        <f t="shared" si="1"/>
        <v>3429</v>
      </c>
      <c r="T17" s="112" t="s">
        <v>4</v>
      </c>
      <c r="U17" s="114"/>
      <c r="V17" s="15">
        <f>SUM(V5:V16)</f>
        <v>125791175</v>
      </c>
    </row>
    <row r="18" spans="1:28" x14ac:dyDescent="0.25">
      <c r="A18" s="2" t="s">
        <v>6</v>
      </c>
      <c r="B18" s="1">
        <v>453</v>
      </c>
      <c r="D18" s="2" t="s">
        <v>6</v>
      </c>
      <c r="E18" s="1">
        <v>8209</v>
      </c>
      <c r="G18" s="126"/>
      <c r="I18" s="2" t="s">
        <v>6</v>
      </c>
      <c r="J18" s="23">
        <v>9852</v>
      </c>
      <c r="K18" s="6" t="s">
        <v>18</v>
      </c>
      <c r="L18" s="21">
        <f>+J62</f>
        <v>9129</v>
      </c>
      <c r="M18" s="21">
        <v>25</v>
      </c>
      <c r="N18" s="21">
        <v>401</v>
      </c>
      <c r="O18" s="21">
        <v>51</v>
      </c>
      <c r="P18" s="21">
        <v>3914</v>
      </c>
      <c r="Q18" s="21">
        <v>60</v>
      </c>
      <c r="R18" s="29">
        <f t="shared" si="1"/>
        <v>3974</v>
      </c>
      <c r="U18" s="13"/>
      <c r="V18" s="13"/>
      <c r="W18" s="13"/>
      <c r="X18" s="13"/>
      <c r="Y18" s="13"/>
    </row>
    <row r="19" spans="1:28" ht="60" x14ac:dyDescent="0.25">
      <c r="A19" s="2" t="s">
        <v>7</v>
      </c>
      <c r="B19" s="1">
        <v>48</v>
      </c>
      <c r="D19" s="2" t="s">
        <v>7</v>
      </c>
      <c r="E19" s="1">
        <v>573</v>
      </c>
      <c r="G19" s="127"/>
      <c r="I19" s="2" t="s">
        <v>7</v>
      </c>
      <c r="J19" s="23">
        <v>1072</v>
      </c>
      <c r="K19" s="6" t="s">
        <v>19</v>
      </c>
      <c r="L19" s="21">
        <f>+J75</f>
        <v>9670</v>
      </c>
      <c r="M19" s="21">
        <v>26</v>
      </c>
      <c r="N19" s="21">
        <v>392</v>
      </c>
      <c r="O19" s="21">
        <v>54</v>
      </c>
      <c r="P19" s="21">
        <v>5474</v>
      </c>
      <c r="Q19" s="21">
        <v>280</v>
      </c>
      <c r="R19" s="29">
        <f t="shared" si="1"/>
        <v>5754</v>
      </c>
      <c r="U19" s="53"/>
      <c r="V19" s="54" t="s">
        <v>71</v>
      </c>
      <c r="W19" s="54" t="s">
        <v>72</v>
      </c>
      <c r="X19" s="54" t="s">
        <v>73</v>
      </c>
      <c r="Y19" s="54" t="s">
        <v>74</v>
      </c>
      <c r="Z19" s="54" t="s">
        <v>75</v>
      </c>
      <c r="AA19" s="43"/>
      <c r="AB19" s="41"/>
    </row>
    <row r="20" spans="1:28" ht="15.75" x14ac:dyDescent="0.25">
      <c r="A20" s="2" t="s">
        <v>33</v>
      </c>
      <c r="B20" s="1">
        <f>SUM(B18:B19)</f>
        <v>501</v>
      </c>
      <c r="D20" s="2" t="s">
        <v>33</v>
      </c>
      <c r="E20" s="2">
        <f>E18+E19</f>
        <v>8782</v>
      </c>
      <c r="G20" s="18"/>
      <c r="I20" s="2" t="s">
        <v>33</v>
      </c>
      <c r="J20" s="23">
        <f>SUM(J18:J19)</f>
        <v>10924</v>
      </c>
      <c r="K20" s="6"/>
      <c r="L20" s="48">
        <f>SUM(L8:L19)</f>
        <v>123392</v>
      </c>
      <c r="M20" s="48">
        <f>SUM(M8:M19)</f>
        <v>301</v>
      </c>
      <c r="N20" s="11">
        <f t="shared" ref="N20:R20" si="2">SUM(N8:N19)</f>
        <v>5179</v>
      </c>
      <c r="O20" s="11">
        <f t="shared" si="2"/>
        <v>615</v>
      </c>
      <c r="P20" s="11">
        <f t="shared" si="2"/>
        <v>69006</v>
      </c>
      <c r="Q20" s="11">
        <f t="shared" si="2"/>
        <v>5576</v>
      </c>
      <c r="R20" s="133">
        <f t="shared" si="2"/>
        <v>74582</v>
      </c>
      <c r="U20" s="15" t="s">
        <v>68</v>
      </c>
      <c r="V20" s="21">
        <v>392</v>
      </c>
      <c r="W20" s="21">
        <v>210</v>
      </c>
      <c r="X20" s="21">
        <v>210</v>
      </c>
      <c r="Y20" s="42">
        <v>145</v>
      </c>
      <c r="Z20" s="42">
        <v>0</v>
      </c>
    </row>
    <row r="21" spans="1:28" ht="15.75" x14ac:dyDescent="0.25">
      <c r="A21" s="19"/>
      <c r="B21" s="20"/>
      <c r="C21" s="25"/>
      <c r="D21" s="19"/>
      <c r="E21" s="20"/>
      <c r="G21" s="7" t="s">
        <v>42</v>
      </c>
      <c r="J21" s="2"/>
      <c r="K21" s="6"/>
      <c r="L21" s="46">
        <f>L20*8</f>
        <v>987136</v>
      </c>
      <c r="M21" s="11"/>
      <c r="N21" s="135">
        <f>+N20+O20</f>
        <v>5794</v>
      </c>
      <c r="O21" s="136"/>
      <c r="P21" s="137">
        <f>+P20+Q20</f>
        <v>74582</v>
      </c>
      <c r="Q21" s="138"/>
      <c r="R21" s="134"/>
      <c r="U21" s="2" t="s">
        <v>69</v>
      </c>
      <c r="V21" s="21">
        <v>54</v>
      </c>
      <c r="W21" s="21">
        <v>25</v>
      </c>
      <c r="X21" s="21">
        <v>25</v>
      </c>
      <c r="Y21" s="42">
        <v>21</v>
      </c>
      <c r="Z21" s="42">
        <v>0</v>
      </c>
      <c r="AA21">
        <f>1541+706</f>
        <v>2247</v>
      </c>
    </row>
    <row r="22" spans="1:28" x14ac:dyDescent="0.25">
      <c r="A22" s="7" t="s">
        <v>11</v>
      </c>
      <c r="B22" s="7" t="s">
        <v>0</v>
      </c>
      <c r="D22" s="7" t="s">
        <v>11</v>
      </c>
      <c r="E22" s="61" t="s">
        <v>2</v>
      </c>
      <c r="F22" s="6"/>
      <c r="G22" s="7" t="s">
        <v>20</v>
      </c>
      <c r="H22" s="6"/>
      <c r="I22" s="7" t="s">
        <v>0</v>
      </c>
      <c r="J22" s="7" t="s">
        <v>4</v>
      </c>
      <c r="L22" s="57">
        <f>SUM(M22:N22)</f>
        <v>482.83333333333331</v>
      </c>
      <c r="M22" s="58">
        <f>+N20/12</f>
        <v>431.58333333333331</v>
      </c>
      <c r="N22" s="58">
        <f>+O20/12</f>
        <v>51.25</v>
      </c>
      <c r="O22" s="47">
        <f>+L21+P21</f>
        <v>1061718</v>
      </c>
      <c r="U22" s="2" t="s">
        <v>70</v>
      </c>
      <c r="V22" s="21">
        <v>0</v>
      </c>
      <c r="W22" s="21">
        <v>0</v>
      </c>
      <c r="X22" s="21">
        <v>0</v>
      </c>
      <c r="Y22" s="42">
        <v>0</v>
      </c>
      <c r="Z22" s="42">
        <v>0</v>
      </c>
    </row>
    <row r="23" spans="1:28" x14ac:dyDescent="0.25">
      <c r="A23" s="112" t="s">
        <v>10</v>
      </c>
      <c r="B23" s="114"/>
      <c r="D23" s="112" t="s">
        <v>10</v>
      </c>
      <c r="E23" s="114"/>
      <c r="G23" s="125">
        <v>23</v>
      </c>
      <c r="I23" s="128" t="s">
        <v>10</v>
      </c>
      <c r="J23" s="129"/>
      <c r="U23" s="2" t="s">
        <v>4</v>
      </c>
      <c r="V23" s="21">
        <f>SUM(V20:V22)</f>
        <v>446</v>
      </c>
      <c r="W23" s="21">
        <f>SUM(W20:W22)</f>
        <v>235</v>
      </c>
      <c r="X23" s="21">
        <f>SUM(X20:X22)</f>
        <v>235</v>
      </c>
      <c r="Y23" s="42">
        <f>SUM(Y20:Y22)</f>
        <v>166</v>
      </c>
      <c r="Z23" s="42">
        <v>0</v>
      </c>
    </row>
    <row r="24" spans="1:28" x14ac:dyDescent="0.25">
      <c r="A24" s="2" t="s">
        <v>6</v>
      </c>
      <c r="B24" s="1">
        <v>450</v>
      </c>
      <c r="D24" s="2" t="s">
        <v>6</v>
      </c>
      <c r="E24" s="23">
        <v>6152</v>
      </c>
      <c r="G24" s="126"/>
      <c r="I24" s="2" t="s">
        <v>6</v>
      </c>
      <c r="J24" s="1">
        <v>9442</v>
      </c>
      <c r="L24" s="139" t="s">
        <v>44</v>
      </c>
      <c r="M24" s="140"/>
      <c r="N24" s="140"/>
      <c r="O24" s="141"/>
      <c r="Q24" s="142" t="s">
        <v>27</v>
      </c>
      <c r="R24" s="143"/>
      <c r="S24" s="143"/>
      <c r="T24" s="144"/>
    </row>
    <row r="25" spans="1:28" x14ac:dyDescent="0.25">
      <c r="A25" s="2" t="s">
        <v>7</v>
      </c>
      <c r="B25" s="1">
        <v>49</v>
      </c>
      <c r="D25" s="2" t="s">
        <v>7</v>
      </c>
      <c r="E25" s="23">
        <v>588</v>
      </c>
      <c r="G25" s="127"/>
      <c r="I25" s="2" t="s">
        <v>7</v>
      </c>
      <c r="J25" s="1">
        <v>1086</v>
      </c>
      <c r="L25" s="7" t="s">
        <v>11</v>
      </c>
      <c r="M25" s="7" t="s">
        <v>6</v>
      </c>
      <c r="N25" s="7" t="s">
        <v>7</v>
      </c>
      <c r="O25" s="7" t="s">
        <v>4</v>
      </c>
      <c r="Q25" s="7" t="s">
        <v>11</v>
      </c>
      <c r="R25" s="7" t="s">
        <v>6</v>
      </c>
      <c r="S25" s="7" t="s">
        <v>7</v>
      </c>
      <c r="T25" s="7" t="s">
        <v>4</v>
      </c>
    </row>
    <row r="26" spans="1:28" x14ac:dyDescent="0.25">
      <c r="A26" s="2" t="s">
        <v>33</v>
      </c>
      <c r="B26" s="1">
        <f>SUM(B24:B25)</f>
        <v>499</v>
      </c>
      <c r="D26" s="2" t="s">
        <v>33</v>
      </c>
      <c r="E26" s="23">
        <f>SUM(E24:E25)</f>
        <v>6740</v>
      </c>
      <c r="G26" s="18"/>
      <c r="I26" s="2" t="s">
        <v>33</v>
      </c>
      <c r="J26" s="2">
        <f>J24+J25</f>
        <v>10528</v>
      </c>
      <c r="L26" s="2" t="s">
        <v>5</v>
      </c>
      <c r="M26" s="32">
        <v>220</v>
      </c>
      <c r="N26" s="1"/>
      <c r="O26" s="14">
        <f t="shared" ref="O26:O37" si="3">SUM(M26:N26)</f>
        <v>220</v>
      </c>
      <c r="Q26" s="2" t="s">
        <v>5</v>
      </c>
      <c r="R26" s="1">
        <v>87</v>
      </c>
      <c r="S26" s="1">
        <v>132</v>
      </c>
      <c r="T26" s="1">
        <f>SUM(R26:S26)</f>
        <v>219</v>
      </c>
    </row>
    <row r="27" spans="1:28" ht="27.75" customHeight="1" x14ac:dyDescent="0.25">
      <c r="A27" s="19"/>
      <c r="B27" s="20"/>
      <c r="C27" s="25"/>
      <c r="D27" s="19"/>
      <c r="E27" s="20"/>
      <c r="G27" s="7" t="s">
        <v>12</v>
      </c>
      <c r="J27" s="2"/>
      <c r="L27" s="2" t="s">
        <v>8</v>
      </c>
      <c r="M27" s="32">
        <v>230</v>
      </c>
      <c r="N27" s="1"/>
      <c r="O27" s="14">
        <f t="shared" si="3"/>
        <v>230</v>
      </c>
      <c r="Q27" s="2" t="s">
        <v>8</v>
      </c>
      <c r="R27" s="1">
        <v>134</v>
      </c>
      <c r="S27" s="1">
        <v>176</v>
      </c>
      <c r="T27" s="1">
        <f t="shared" ref="T27:T28" si="4">SUM(R27:S27)</f>
        <v>310</v>
      </c>
      <c r="V27" s="145" t="s">
        <v>80</v>
      </c>
      <c r="W27" s="146"/>
      <c r="X27" s="146"/>
      <c r="Y27" s="147"/>
    </row>
    <row r="28" spans="1:28" ht="36" customHeight="1" x14ac:dyDescent="0.25">
      <c r="A28" s="7" t="s">
        <v>11</v>
      </c>
      <c r="B28" s="7" t="s">
        <v>0</v>
      </c>
      <c r="D28" s="7" t="s">
        <v>11</v>
      </c>
      <c r="E28" s="61" t="s">
        <v>2</v>
      </c>
      <c r="F28" s="6"/>
      <c r="G28" s="7" t="s">
        <v>20</v>
      </c>
      <c r="H28" s="6"/>
      <c r="I28" s="7" t="s">
        <v>0</v>
      </c>
      <c r="J28" s="7" t="s">
        <v>4</v>
      </c>
      <c r="L28" s="2" t="s">
        <v>9</v>
      </c>
      <c r="M28" s="32">
        <v>240</v>
      </c>
      <c r="N28" s="1"/>
      <c r="O28" s="14">
        <f t="shared" si="3"/>
        <v>240</v>
      </c>
      <c r="Q28" s="2" t="s">
        <v>9</v>
      </c>
      <c r="R28" s="1">
        <v>131</v>
      </c>
      <c r="S28" s="1">
        <v>181</v>
      </c>
      <c r="T28" s="1">
        <f t="shared" si="4"/>
        <v>312</v>
      </c>
      <c r="V28" s="54" t="s">
        <v>81</v>
      </c>
      <c r="W28" s="54" t="s">
        <v>82</v>
      </c>
      <c r="X28" s="54" t="s">
        <v>83</v>
      </c>
      <c r="Y28" s="54" t="s">
        <v>84</v>
      </c>
    </row>
    <row r="29" spans="1:28" ht="31.5" customHeight="1" x14ac:dyDescent="0.25">
      <c r="A29" s="117" t="s">
        <v>28</v>
      </c>
      <c r="B29" s="118"/>
      <c r="D29" s="117" t="s">
        <v>12</v>
      </c>
      <c r="E29" s="118"/>
      <c r="G29" s="125">
        <v>26</v>
      </c>
      <c r="I29" s="128" t="s">
        <v>12</v>
      </c>
      <c r="J29" s="129"/>
      <c r="L29" s="2" t="s">
        <v>10</v>
      </c>
      <c r="M29" s="32">
        <v>255</v>
      </c>
      <c r="N29" s="1"/>
      <c r="O29" s="14">
        <f t="shared" si="3"/>
        <v>255</v>
      </c>
      <c r="Q29" s="2" t="s">
        <v>10</v>
      </c>
      <c r="R29" s="1">
        <v>110</v>
      </c>
      <c r="S29" s="1">
        <v>180</v>
      </c>
      <c r="T29" s="1">
        <f>SUM(R29:S29)</f>
        <v>290</v>
      </c>
      <c r="V29" s="44"/>
      <c r="W29" s="44">
        <v>8.33</v>
      </c>
      <c r="X29" s="44"/>
      <c r="Y29" s="66">
        <v>45588</v>
      </c>
    </row>
    <row r="30" spans="1:28" x14ac:dyDescent="0.25">
      <c r="A30" s="2" t="s">
        <v>6</v>
      </c>
      <c r="B30" s="1">
        <v>453</v>
      </c>
      <c r="D30" s="2" t="s">
        <v>6</v>
      </c>
      <c r="E30" s="23">
        <v>6143</v>
      </c>
      <c r="G30" s="126"/>
      <c r="I30" s="2" t="s">
        <v>6</v>
      </c>
      <c r="J30" s="1">
        <v>9547</v>
      </c>
      <c r="L30" s="2" t="s">
        <v>12</v>
      </c>
      <c r="M30" s="1">
        <f>9+9+9+9+9+9+9+9+10+8+8+9+8+10+9+9+8+8+8+9+9+9+10+9+5+4+5+10+10+10+10</f>
        <v>267</v>
      </c>
      <c r="N30" s="1"/>
      <c r="O30" s="14">
        <f t="shared" si="3"/>
        <v>267</v>
      </c>
      <c r="Q30" s="2" t="s">
        <v>12</v>
      </c>
      <c r="R30" s="1">
        <v>117</v>
      </c>
      <c r="S30" s="1">
        <v>161</v>
      </c>
      <c r="T30" s="1">
        <f t="shared" ref="T30:T37" si="5">SUM(R30:S30)</f>
        <v>278</v>
      </c>
    </row>
    <row r="31" spans="1:28" x14ac:dyDescent="0.25">
      <c r="A31" s="2" t="s">
        <v>7</v>
      </c>
      <c r="B31" s="1">
        <v>56</v>
      </c>
      <c r="D31" s="2" t="s">
        <v>7</v>
      </c>
      <c r="E31" s="23">
        <v>473</v>
      </c>
      <c r="G31" s="127"/>
      <c r="I31" s="2" t="s">
        <v>7</v>
      </c>
      <c r="J31" s="1">
        <v>1129</v>
      </c>
      <c r="L31" s="2" t="s">
        <v>13</v>
      </c>
      <c r="M31" s="1">
        <f>9+9+9+9+10+10+10+10+9+8+9+10+10+8+9+8+9+9+8+7+9+7+11+10+11+10+10+10+10+10</f>
        <v>278</v>
      </c>
      <c r="N31" s="1"/>
      <c r="O31" s="14">
        <f t="shared" si="3"/>
        <v>278</v>
      </c>
      <c r="Q31" s="2" t="s">
        <v>13</v>
      </c>
      <c r="R31" s="1">
        <v>120</v>
      </c>
      <c r="S31" s="1">
        <v>180</v>
      </c>
      <c r="T31" s="1">
        <f t="shared" si="5"/>
        <v>300</v>
      </c>
    </row>
    <row r="32" spans="1:28" x14ac:dyDescent="0.25">
      <c r="A32" s="2" t="s">
        <v>33</v>
      </c>
      <c r="B32" s="1">
        <f>SUM(B30:B31)</f>
        <v>509</v>
      </c>
      <c r="D32" s="2" t="s">
        <v>33</v>
      </c>
      <c r="E32" s="23">
        <f>SUM(E30:E31)</f>
        <v>6616</v>
      </c>
      <c r="G32" s="18"/>
      <c r="I32" s="2" t="s">
        <v>33</v>
      </c>
      <c r="J32" s="2">
        <f>J30+J31</f>
        <v>10676</v>
      </c>
      <c r="L32" s="2" t="s">
        <v>14</v>
      </c>
      <c r="M32" s="1">
        <f>9+10+9+10+10+10+9+10+8+9+10+9+10+10+8+9+10+10+10+10+11+10+10+10+10+10+10+10+10+9+10</f>
        <v>300</v>
      </c>
      <c r="N32" s="1"/>
      <c r="O32" s="14">
        <f t="shared" si="3"/>
        <v>300</v>
      </c>
      <c r="Q32" s="2" t="s">
        <v>14</v>
      </c>
      <c r="R32" s="1">
        <v>106</v>
      </c>
      <c r="S32" s="1">
        <v>181</v>
      </c>
      <c r="T32" s="1">
        <f t="shared" si="5"/>
        <v>287</v>
      </c>
    </row>
    <row r="33" spans="1:20" x14ac:dyDescent="0.25">
      <c r="A33" s="19"/>
      <c r="B33" s="20"/>
      <c r="C33" s="25"/>
      <c r="D33" s="19"/>
      <c r="E33" s="20"/>
      <c r="G33" s="7" t="s">
        <v>46</v>
      </c>
      <c r="J33" s="2"/>
      <c r="L33" s="2" t="s">
        <v>15</v>
      </c>
      <c r="M33" s="1">
        <f>10+11+10+8+10+10+9+8+10+10+10+9+9+9+10+9+10+9+10+9+8+9+7+10+10+10+10+10+10+9+10</f>
        <v>293</v>
      </c>
      <c r="N33" s="1"/>
      <c r="O33" s="14">
        <f t="shared" si="3"/>
        <v>293</v>
      </c>
      <c r="Q33" s="2" t="s">
        <v>15</v>
      </c>
      <c r="R33" s="1">
        <v>91</v>
      </c>
      <c r="S33" s="1">
        <v>183</v>
      </c>
      <c r="T33" s="1">
        <f t="shared" si="5"/>
        <v>274</v>
      </c>
    </row>
    <row r="34" spans="1:20" x14ac:dyDescent="0.25">
      <c r="A34" s="7" t="s">
        <v>11</v>
      </c>
      <c r="B34" s="7" t="s">
        <v>0</v>
      </c>
      <c r="D34" s="7" t="s">
        <v>11</v>
      </c>
      <c r="E34" s="61" t="s">
        <v>2</v>
      </c>
      <c r="F34" s="6"/>
      <c r="G34" s="7" t="s">
        <v>20</v>
      </c>
      <c r="H34" s="6"/>
      <c r="I34" s="7" t="s">
        <v>0</v>
      </c>
      <c r="J34" s="7" t="s">
        <v>4</v>
      </c>
      <c r="L34" s="2" t="s">
        <v>16</v>
      </c>
      <c r="M34" s="1">
        <f>9+8+9+10+9+9+9+10+9+9+8+9+8+9+9+10+8+10+11+6+9+9+10+11+10+9+10+10+9+10</f>
        <v>276</v>
      </c>
      <c r="N34" s="1"/>
      <c r="O34" s="14">
        <f t="shared" si="3"/>
        <v>276</v>
      </c>
      <c r="Q34" s="2" t="s">
        <v>16</v>
      </c>
      <c r="R34" s="1">
        <v>91</v>
      </c>
      <c r="S34" s="1">
        <v>199</v>
      </c>
      <c r="T34" s="1">
        <f t="shared" si="5"/>
        <v>290</v>
      </c>
    </row>
    <row r="35" spans="1:20" x14ac:dyDescent="0.25">
      <c r="A35" s="128" t="s">
        <v>13</v>
      </c>
      <c r="B35" s="129"/>
      <c r="D35" s="128" t="s">
        <v>13</v>
      </c>
      <c r="E35" s="129"/>
      <c r="G35" s="125">
        <v>26</v>
      </c>
      <c r="I35" s="128" t="s">
        <v>13</v>
      </c>
      <c r="J35" s="129"/>
      <c r="L35" s="2" t="s">
        <v>17</v>
      </c>
      <c r="M35" s="1">
        <f>11+10+9+9+10+10+9+11+12+10+10+10+11+9+9+9+8+8+10+9+9+9+10+11+9+9+10+11+10+9+7</f>
        <v>298</v>
      </c>
      <c r="N35" s="1"/>
      <c r="O35" s="14">
        <f t="shared" si="3"/>
        <v>298</v>
      </c>
      <c r="Q35" s="2" t="s">
        <v>17</v>
      </c>
      <c r="R35" s="1">
        <v>111</v>
      </c>
      <c r="S35" s="1">
        <v>178</v>
      </c>
      <c r="T35" s="1">
        <f t="shared" si="5"/>
        <v>289</v>
      </c>
    </row>
    <row r="36" spans="1:20" x14ac:dyDescent="0.25">
      <c r="A36" s="2" t="s">
        <v>6</v>
      </c>
      <c r="B36" s="1">
        <v>452</v>
      </c>
      <c r="D36" s="2" t="s">
        <v>6</v>
      </c>
      <c r="E36" s="23">
        <v>6660</v>
      </c>
      <c r="G36" s="126"/>
      <c r="I36" s="2" t="s">
        <v>6</v>
      </c>
      <c r="J36" s="1">
        <v>9667</v>
      </c>
      <c r="L36" s="2" t="s">
        <v>18</v>
      </c>
      <c r="M36" s="1">
        <f>10+9+10+10+10+8+7+8+8+8+8+6+7+8+7+8+8+9+8+9+8+8+8+8+10+8+9+9+8+9</f>
        <v>251</v>
      </c>
      <c r="N36" s="1"/>
      <c r="O36" s="14">
        <f t="shared" si="3"/>
        <v>251</v>
      </c>
      <c r="Q36" s="2" t="s">
        <v>18</v>
      </c>
      <c r="R36" s="1">
        <v>95</v>
      </c>
      <c r="S36" s="1">
        <v>164</v>
      </c>
      <c r="T36" s="1">
        <f t="shared" si="5"/>
        <v>259</v>
      </c>
    </row>
    <row r="37" spans="1:20" x14ac:dyDescent="0.25">
      <c r="A37" s="2" t="s">
        <v>7</v>
      </c>
      <c r="B37" s="1">
        <v>59</v>
      </c>
      <c r="D37" s="2" t="s">
        <v>7</v>
      </c>
      <c r="E37" s="23">
        <v>1190</v>
      </c>
      <c r="G37" s="127"/>
      <c r="I37" s="2" t="s">
        <v>7</v>
      </c>
      <c r="J37" s="1">
        <v>1630</v>
      </c>
      <c r="L37" s="2" t="s">
        <v>19</v>
      </c>
      <c r="M37" s="1">
        <f>5+8+10+9+9+9+10+8+9+9+10+10+10+9+8+9+10+9+8+9+10+8+10+8+10+8+8+8+8+9+9</f>
        <v>274</v>
      </c>
      <c r="N37" s="1"/>
      <c r="O37" s="14">
        <f t="shared" si="3"/>
        <v>274</v>
      </c>
      <c r="Q37" s="2" t="s">
        <v>19</v>
      </c>
      <c r="R37" s="1">
        <v>101</v>
      </c>
      <c r="S37" s="1">
        <v>117</v>
      </c>
      <c r="T37" s="1">
        <f t="shared" si="5"/>
        <v>218</v>
      </c>
    </row>
    <row r="38" spans="1:20" ht="15.75" x14ac:dyDescent="0.25">
      <c r="A38" s="2" t="s">
        <v>33</v>
      </c>
      <c r="B38" s="1">
        <f>SUM(B36:B37)</f>
        <v>511</v>
      </c>
      <c r="D38" s="2" t="s">
        <v>33</v>
      </c>
      <c r="E38" s="23">
        <f>SUM(E36:E37)</f>
        <v>7850</v>
      </c>
      <c r="G38" s="18"/>
      <c r="I38" s="2" t="s">
        <v>33</v>
      </c>
      <c r="J38" s="2">
        <f>J36+J37</f>
        <v>11297</v>
      </c>
      <c r="L38" s="2" t="s">
        <v>4</v>
      </c>
      <c r="M38" s="1"/>
      <c r="N38" s="1"/>
      <c r="O38" s="15">
        <f>SUM(O26:O37)</f>
        <v>3182</v>
      </c>
      <c r="Q38" s="30" t="s">
        <v>4</v>
      </c>
      <c r="R38" s="30">
        <f>SUM(R26:R37)</f>
        <v>1294</v>
      </c>
      <c r="S38" s="30">
        <f>SUM(S26:S37)</f>
        <v>2032</v>
      </c>
      <c r="T38" s="30">
        <f>SUM(T26:T37)</f>
        <v>3326</v>
      </c>
    </row>
    <row r="39" spans="1:20" x14ac:dyDescent="0.25">
      <c r="A39" s="19"/>
      <c r="B39" s="20"/>
      <c r="C39" s="25"/>
      <c r="D39" s="19"/>
      <c r="E39" s="20"/>
      <c r="G39" s="7" t="s">
        <v>43</v>
      </c>
      <c r="J39" s="2"/>
    </row>
    <row r="40" spans="1:20" x14ac:dyDescent="0.25">
      <c r="A40" s="7" t="s">
        <v>11</v>
      </c>
      <c r="B40" s="7" t="s">
        <v>0</v>
      </c>
      <c r="D40" s="7" t="s">
        <v>11</v>
      </c>
      <c r="E40" s="61" t="s">
        <v>2</v>
      </c>
      <c r="F40" s="6"/>
      <c r="G40" s="7" t="s">
        <v>20</v>
      </c>
      <c r="H40" s="6"/>
      <c r="I40" s="7" t="s">
        <v>0</v>
      </c>
      <c r="J40" s="7" t="s">
        <v>4</v>
      </c>
      <c r="L40" s="19" t="s">
        <v>77</v>
      </c>
      <c r="Q40" s="19" t="s">
        <v>78</v>
      </c>
    </row>
    <row r="41" spans="1:20" x14ac:dyDescent="0.25">
      <c r="A41" s="148" t="s">
        <v>14</v>
      </c>
      <c r="B41" s="149"/>
      <c r="D41" s="148" t="s">
        <v>14</v>
      </c>
      <c r="E41" s="149"/>
      <c r="G41" s="125">
        <v>26</v>
      </c>
      <c r="I41" s="128" t="s">
        <v>14</v>
      </c>
      <c r="J41" s="129"/>
    </row>
    <row r="42" spans="1:20" x14ac:dyDescent="0.25">
      <c r="A42" s="2" t="s">
        <v>6</v>
      </c>
      <c r="B42" s="1">
        <v>449</v>
      </c>
      <c r="D42" s="2" t="s">
        <v>6</v>
      </c>
      <c r="E42" s="23">
        <v>5617</v>
      </c>
      <c r="G42" s="126"/>
      <c r="I42" s="2" t="s">
        <v>6</v>
      </c>
      <c r="J42" s="1">
        <v>10193</v>
      </c>
    </row>
    <row r="43" spans="1:20" x14ac:dyDescent="0.25">
      <c r="A43" s="2" t="s">
        <v>7</v>
      </c>
      <c r="B43" s="1">
        <v>59</v>
      </c>
      <c r="D43" s="2" t="s">
        <v>7</v>
      </c>
      <c r="E43" s="23">
        <v>663</v>
      </c>
      <c r="G43" s="127"/>
      <c r="I43" s="2" t="s">
        <v>7</v>
      </c>
      <c r="J43" s="1">
        <v>1309</v>
      </c>
    </row>
    <row r="44" spans="1:20" x14ac:dyDescent="0.25">
      <c r="A44" s="2" t="s">
        <v>33</v>
      </c>
      <c r="B44" s="1">
        <f>SUM(B42:B43)</f>
        <v>508</v>
      </c>
      <c r="D44" s="2" t="s">
        <v>33</v>
      </c>
      <c r="E44" s="23">
        <f>SUM(E42:E43)</f>
        <v>6280</v>
      </c>
      <c r="G44" s="18"/>
      <c r="I44" s="2" t="s">
        <v>33</v>
      </c>
      <c r="J44" s="2">
        <f>J42+J43</f>
        <v>11502</v>
      </c>
      <c r="L44" t="s">
        <v>79</v>
      </c>
    </row>
    <row r="45" spans="1:20" x14ac:dyDescent="0.25">
      <c r="A45" s="19"/>
      <c r="B45" s="20"/>
      <c r="C45" s="25"/>
      <c r="D45" s="19"/>
      <c r="E45" s="20"/>
      <c r="G45" s="18" t="s">
        <v>15</v>
      </c>
      <c r="J45" s="2"/>
    </row>
    <row r="46" spans="1:20" x14ac:dyDescent="0.25">
      <c r="A46" s="7" t="s">
        <v>11</v>
      </c>
      <c r="B46" s="7" t="s">
        <v>0</v>
      </c>
      <c r="D46" s="7" t="s">
        <v>11</v>
      </c>
      <c r="E46" s="61" t="s">
        <v>2</v>
      </c>
      <c r="F46" s="6"/>
      <c r="G46" s="7" t="s">
        <v>20</v>
      </c>
      <c r="H46" s="6"/>
      <c r="I46" s="7" t="s">
        <v>0</v>
      </c>
      <c r="J46" s="7" t="s">
        <v>4</v>
      </c>
    </row>
    <row r="47" spans="1:20" x14ac:dyDescent="0.25">
      <c r="A47" s="117" t="s">
        <v>15</v>
      </c>
      <c r="B47" s="118"/>
      <c r="D47" s="117" t="s">
        <v>15</v>
      </c>
      <c r="E47" s="118"/>
      <c r="G47" s="125">
        <v>26</v>
      </c>
      <c r="I47" s="117" t="s">
        <v>15</v>
      </c>
      <c r="J47" s="118"/>
      <c r="L47" s="150" t="s">
        <v>5</v>
      </c>
      <c r="M47" s="151"/>
      <c r="P47" s="65" t="s">
        <v>86</v>
      </c>
      <c r="Q47" s="65" t="s">
        <v>11</v>
      </c>
      <c r="R47" s="65" t="s">
        <v>87</v>
      </c>
    </row>
    <row r="48" spans="1:20" x14ac:dyDescent="0.25">
      <c r="A48" s="2" t="s">
        <v>6</v>
      </c>
      <c r="B48" s="1">
        <v>425</v>
      </c>
      <c r="D48" s="2" t="s">
        <v>6</v>
      </c>
      <c r="E48" s="23">
        <v>7449</v>
      </c>
      <c r="G48" s="126"/>
      <c r="I48" s="2" t="s">
        <v>6</v>
      </c>
      <c r="J48" s="1">
        <v>9330</v>
      </c>
      <c r="L48" s="50" t="s">
        <v>6</v>
      </c>
      <c r="M48" s="51">
        <v>441</v>
      </c>
      <c r="N48">
        <f>+M48-M54</f>
        <v>49</v>
      </c>
      <c r="P48" s="65"/>
      <c r="Q48" s="65" t="s">
        <v>40</v>
      </c>
      <c r="R48" s="65"/>
    </row>
    <row r="49" spans="1:18" x14ac:dyDescent="0.25">
      <c r="A49" s="2" t="s">
        <v>7</v>
      </c>
      <c r="B49" s="1">
        <v>55</v>
      </c>
      <c r="D49" s="2" t="s">
        <v>7</v>
      </c>
      <c r="E49" s="23">
        <v>918</v>
      </c>
      <c r="G49" s="127"/>
      <c r="I49" s="2" t="s">
        <v>7</v>
      </c>
      <c r="J49" s="1">
        <v>1119</v>
      </c>
      <c r="L49" s="50" t="s">
        <v>7</v>
      </c>
      <c r="M49" s="51">
        <v>38</v>
      </c>
      <c r="P49" s="65"/>
      <c r="Q49" s="65" t="s">
        <v>8</v>
      </c>
      <c r="R49" s="65">
        <v>175</v>
      </c>
    </row>
    <row r="50" spans="1:18" x14ac:dyDescent="0.25">
      <c r="A50" s="2" t="s">
        <v>33</v>
      </c>
      <c r="B50" s="1">
        <f>SUM(B48:B49)</f>
        <v>480</v>
      </c>
      <c r="D50" s="2" t="s">
        <v>33</v>
      </c>
      <c r="E50" s="23">
        <f>SUM(E48:E49)</f>
        <v>8367</v>
      </c>
      <c r="G50" s="18"/>
      <c r="I50" s="2" t="s">
        <v>33</v>
      </c>
      <c r="J50" s="2">
        <f>J48+J49</f>
        <v>10449</v>
      </c>
      <c r="L50" s="49" t="s">
        <v>33</v>
      </c>
      <c r="M50" s="49">
        <f>SUM(M48:M49)</f>
        <v>479</v>
      </c>
      <c r="P50" s="65"/>
      <c r="Q50" s="65" t="s">
        <v>41</v>
      </c>
      <c r="R50" s="65">
        <v>166</v>
      </c>
    </row>
    <row r="51" spans="1:18" x14ac:dyDescent="0.25">
      <c r="A51" s="19"/>
      <c r="B51" s="20"/>
      <c r="C51" s="25"/>
      <c r="D51" s="19"/>
      <c r="E51" s="20"/>
      <c r="G51" s="18" t="s">
        <v>16</v>
      </c>
      <c r="J51" s="2"/>
      <c r="P51" s="65"/>
      <c r="Q51" s="65" t="s">
        <v>42</v>
      </c>
      <c r="R51" s="65">
        <v>153</v>
      </c>
    </row>
    <row r="52" spans="1:18" x14ac:dyDescent="0.25">
      <c r="A52" s="7" t="s">
        <v>11</v>
      </c>
      <c r="B52" s="7" t="s">
        <v>0</v>
      </c>
      <c r="D52" s="7" t="s">
        <v>11</v>
      </c>
      <c r="E52" s="61" t="s">
        <v>2</v>
      </c>
      <c r="F52" s="6"/>
      <c r="G52" s="7" t="s">
        <v>20</v>
      </c>
      <c r="H52" s="6"/>
      <c r="I52" s="7" t="s">
        <v>0</v>
      </c>
      <c r="J52" s="7" t="s">
        <v>4</v>
      </c>
      <c r="P52" s="65"/>
      <c r="Q52" s="65" t="s">
        <v>12</v>
      </c>
      <c r="R52" s="65">
        <v>152</v>
      </c>
    </row>
    <row r="53" spans="1:18" x14ac:dyDescent="0.25">
      <c r="A53" s="128" t="s">
        <v>16</v>
      </c>
      <c r="B53" s="129"/>
      <c r="D53" s="128" t="s">
        <v>16</v>
      </c>
      <c r="E53" s="129"/>
      <c r="G53" s="125">
        <v>25</v>
      </c>
      <c r="I53" s="128" t="s">
        <v>16</v>
      </c>
      <c r="J53" s="129"/>
      <c r="L53" s="152" t="s">
        <v>19</v>
      </c>
      <c r="M53" s="153"/>
      <c r="P53" s="65"/>
      <c r="Q53" s="65" t="s">
        <v>46</v>
      </c>
      <c r="R53" s="65">
        <v>152</v>
      </c>
    </row>
    <row r="54" spans="1:18" x14ac:dyDescent="0.25">
      <c r="A54" s="2" t="s">
        <v>6</v>
      </c>
      <c r="B54" s="1">
        <v>412</v>
      </c>
      <c r="D54" s="2" t="s">
        <v>6</v>
      </c>
      <c r="E54" s="23">
        <v>3752</v>
      </c>
      <c r="G54" s="126"/>
      <c r="I54" s="2" t="s">
        <v>6</v>
      </c>
      <c r="J54" s="1">
        <v>9250</v>
      </c>
      <c r="L54" s="50" t="s">
        <v>6</v>
      </c>
      <c r="M54" s="51">
        <v>392</v>
      </c>
      <c r="P54" s="65"/>
      <c r="Q54" s="65" t="s">
        <v>43</v>
      </c>
      <c r="R54" s="65">
        <v>124</v>
      </c>
    </row>
    <row r="55" spans="1:18" x14ac:dyDescent="0.25">
      <c r="A55" s="2" t="s">
        <v>7</v>
      </c>
      <c r="B55" s="1">
        <v>51</v>
      </c>
      <c r="D55" s="2" t="s">
        <v>7</v>
      </c>
      <c r="E55" s="23">
        <v>48</v>
      </c>
      <c r="G55" s="127"/>
      <c r="I55" s="2" t="s">
        <v>7</v>
      </c>
      <c r="J55" s="1">
        <v>1104</v>
      </c>
      <c r="L55" s="50" t="s">
        <v>7</v>
      </c>
      <c r="M55" s="51">
        <v>54</v>
      </c>
      <c r="P55" s="65"/>
      <c r="Q55" s="65" t="s">
        <v>15</v>
      </c>
      <c r="R55" s="65">
        <v>92</v>
      </c>
    </row>
    <row r="56" spans="1:18" x14ac:dyDescent="0.25">
      <c r="A56" s="2" t="s">
        <v>33</v>
      </c>
      <c r="B56" s="1">
        <f>SUM(B54:B55)</f>
        <v>463</v>
      </c>
      <c r="D56" s="2" t="s">
        <v>33</v>
      </c>
      <c r="E56" s="23">
        <f>SUM(E54:E55)</f>
        <v>3800</v>
      </c>
      <c r="G56" s="18"/>
      <c r="I56" s="2" t="s">
        <v>33</v>
      </c>
      <c r="J56" s="2">
        <f>J54+J55</f>
        <v>10354</v>
      </c>
      <c r="L56" s="49" t="s">
        <v>33</v>
      </c>
      <c r="M56" s="49">
        <f>SUM(M54:M55)</f>
        <v>446</v>
      </c>
      <c r="P56" s="65"/>
      <c r="Q56" s="65" t="s">
        <v>16</v>
      </c>
      <c r="R56" s="65">
        <v>73</v>
      </c>
    </row>
    <row r="57" spans="1:18" x14ac:dyDescent="0.25">
      <c r="A57" s="19"/>
      <c r="B57" s="20"/>
      <c r="C57" s="25"/>
      <c r="D57" s="19"/>
      <c r="E57" s="20"/>
      <c r="G57" s="18" t="s">
        <v>17</v>
      </c>
      <c r="J57" s="17"/>
      <c r="P57" s="65"/>
      <c r="Q57" s="65" t="s">
        <v>17</v>
      </c>
      <c r="R57" s="65">
        <v>54</v>
      </c>
    </row>
    <row r="58" spans="1:18" x14ac:dyDescent="0.25">
      <c r="A58" s="7" t="s">
        <v>11</v>
      </c>
      <c r="B58" s="7" t="s">
        <v>0</v>
      </c>
      <c r="D58" s="7" t="s">
        <v>11</v>
      </c>
      <c r="E58" s="61" t="s">
        <v>2</v>
      </c>
      <c r="F58" s="6"/>
      <c r="G58" s="7" t="s">
        <v>20</v>
      </c>
      <c r="H58" s="6"/>
      <c r="I58" s="7" t="s">
        <v>0</v>
      </c>
      <c r="J58" s="7" t="s">
        <v>4</v>
      </c>
      <c r="P58" s="65"/>
      <c r="Q58" s="65" t="s">
        <v>18</v>
      </c>
      <c r="R58" s="65">
        <v>45</v>
      </c>
    </row>
    <row r="59" spans="1:18" x14ac:dyDescent="0.25">
      <c r="A59" s="128" t="s">
        <v>17</v>
      </c>
      <c r="B59" s="129"/>
      <c r="D59" s="128" t="s">
        <v>17</v>
      </c>
      <c r="E59" s="129"/>
      <c r="G59" s="125">
        <v>24</v>
      </c>
      <c r="I59" s="128" t="s">
        <v>17</v>
      </c>
      <c r="J59" s="129"/>
      <c r="P59" s="65"/>
      <c r="Q59" s="65" t="s">
        <v>19</v>
      </c>
      <c r="R59" s="65">
        <v>17</v>
      </c>
    </row>
    <row r="60" spans="1:18" x14ac:dyDescent="0.25">
      <c r="A60" s="2" t="s">
        <v>6</v>
      </c>
      <c r="B60" s="1">
        <v>396</v>
      </c>
      <c r="D60" s="2" t="s">
        <v>6</v>
      </c>
      <c r="E60" s="23">
        <v>3339</v>
      </c>
      <c r="G60" s="126"/>
      <c r="I60" s="2" t="s">
        <v>6</v>
      </c>
      <c r="J60" s="1">
        <v>8186</v>
      </c>
      <c r="P60" s="154" t="s">
        <v>88</v>
      </c>
      <c r="Q60" s="154"/>
      <c r="R60" s="65">
        <f>SUM(R48:R59)</f>
        <v>1203</v>
      </c>
    </row>
    <row r="61" spans="1:18" x14ac:dyDescent="0.25">
      <c r="A61" s="2" t="s">
        <v>7</v>
      </c>
      <c r="B61" s="1">
        <v>49</v>
      </c>
      <c r="D61" s="2" t="s">
        <v>7</v>
      </c>
      <c r="E61" s="23">
        <v>90</v>
      </c>
      <c r="G61" s="127"/>
      <c r="I61" s="2" t="s">
        <v>7</v>
      </c>
      <c r="J61" s="1">
        <v>943</v>
      </c>
    </row>
    <row r="62" spans="1:18" x14ac:dyDescent="0.25">
      <c r="A62" s="2" t="s">
        <v>33</v>
      </c>
      <c r="B62" s="1">
        <f>SUM(B60:B61)</f>
        <v>445</v>
      </c>
      <c r="D62" s="2" t="s">
        <v>33</v>
      </c>
      <c r="E62" s="23">
        <f>SUM(E60:E61)</f>
        <v>3429</v>
      </c>
      <c r="G62" s="18"/>
      <c r="I62" s="2" t="s">
        <v>33</v>
      </c>
      <c r="J62" s="2">
        <f>SUM(J60:J61)</f>
        <v>9129</v>
      </c>
    </row>
    <row r="63" spans="1:18" x14ac:dyDescent="0.25">
      <c r="A63" s="17"/>
      <c r="B63" s="20"/>
      <c r="D63" s="17"/>
      <c r="E63" s="20"/>
      <c r="G63" s="18"/>
      <c r="I63" s="17"/>
      <c r="J63" s="17"/>
    </row>
    <row r="64" spans="1:18" x14ac:dyDescent="0.25">
      <c r="A64" s="7" t="s">
        <v>11</v>
      </c>
      <c r="B64" s="7" t="s">
        <v>0</v>
      </c>
      <c r="D64" s="7" t="s">
        <v>11</v>
      </c>
      <c r="E64" s="61" t="s">
        <v>2</v>
      </c>
      <c r="F64" s="6"/>
      <c r="G64" s="7" t="s">
        <v>20</v>
      </c>
      <c r="H64" s="6"/>
      <c r="I64" s="7" t="s">
        <v>0</v>
      </c>
      <c r="J64" s="7" t="s">
        <v>4</v>
      </c>
    </row>
    <row r="65" spans="1:10" x14ac:dyDescent="0.25">
      <c r="A65" s="128" t="s">
        <v>18</v>
      </c>
      <c r="B65" s="129"/>
      <c r="D65" s="128" t="s">
        <v>18</v>
      </c>
      <c r="E65" s="129"/>
      <c r="G65" s="125">
        <v>25</v>
      </c>
      <c r="I65" s="128" t="s">
        <v>18</v>
      </c>
      <c r="J65" s="129"/>
    </row>
    <row r="66" spans="1:10" x14ac:dyDescent="0.25">
      <c r="A66" s="2" t="s">
        <v>6</v>
      </c>
      <c r="B66" s="1">
        <v>401</v>
      </c>
      <c r="D66" s="2" t="s">
        <v>6</v>
      </c>
      <c r="E66" s="23">
        <v>3914</v>
      </c>
      <c r="G66" s="126"/>
      <c r="I66" s="2" t="s">
        <v>6</v>
      </c>
      <c r="J66" s="1">
        <v>8186</v>
      </c>
    </row>
    <row r="67" spans="1:10" x14ac:dyDescent="0.25">
      <c r="A67" s="2" t="s">
        <v>7</v>
      </c>
      <c r="B67" s="1">
        <v>51</v>
      </c>
      <c r="D67" s="2" t="s">
        <v>7</v>
      </c>
      <c r="E67" s="23">
        <v>60</v>
      </c>
      <c r="G67" s="127"/>
      <c r="I67" s="2" t="s">
        <v>7</v>
      </c>
      <c r="J67" s="1">
        <v>943</v>
      </c>
    </row>
    <row r="68" spans="1:10" x14ac:dyDescent="0.25">
      <c r="A68" s="2" t="s">
        <v>33</v>
      </c>
      <c r="B68" s="1">
        <f>SUM(B66:B67)</f>
        <v>452</v>
      </c>
      <c r="D68" s="2" t="s">
        <v>33</v>
      </c>
      <c r="E68" s="23">
        <f>SUM(E66:E67)</f>
        <v>3974</v>
      </c>
      <c r="G68" s="18"/>
      <c r="I68" s="2" t="s">
        <v>33</v>
      </c>
      <c r="J68" s="21">
        <v>9129</v>
      </c>
    </row>
    <row r="69" spans="1:10" x14ac:dyDescent="0.25">
      <c r="A69" s="17"/>
      <c r="B69" s="20"/>
      <c r="D69" s="17"/>
      <c r="E69" s="20"/>
      <c r="G69" s="18"/>
      <c r="I69" s="17"/>
      <c r="J69" s="17"/>
    </row>
    <row r="70" spans="1:10" x14ac:dyDescent="0.25">
      <c r="A70" s="19"/>
      <c r="B70" s="20"/>
      <c r="C70" s="25"/>
      <c r="D70" s="19"/>
      <c r="E70" s="20"/>
      <c r="G70" s="18" t="s">
        <v>19</v>
      </c>
      <c r="I70" s="20"/>
      <c r="J70" s="17"/>
    </row>
    <row r="71" spans="1:10" x14ac:dyDescent="0.25">
      <c r="A71" s="7" t="s">
        <v>11</v>
      </c>
      <c r="B71" s="7" t="s">
        <v>0</v>
      </c>
      <c r="D71" s="7" t="s">
        <v>11</v>
      </c>
      <c r="E71" s="61" t="s">
        <v>2</v>
      </c>
      <c r="F71" s="6"/>
      <c r="G71" s="7" t="s">
        <v>20</v>
      </c>
      <c r="H71" s="6"/>
      <c r="I71" s="7" t="s">
        <v>0</v>
      </c>
      <c r="J71" s="7" t="s">
        <v>4</v>
      </c>
    </row>
    <row r="72" spans="1:10" x14ac:dyDescent="0.25">
      <c r="A72" s="155" t="s">
        <v>19</v>
      </c>
      <c r="B72" s="156"/>
      <c r="D72" s="128" t="s">
        <v>19</v>
      </c>
      <c r="E72" s="129"/>
      <c r="G72" s="125">
        <v>26</v>
      </c>
      <c r="I72" s="62" t="s">
        <v>19</v>
      </c>
      <c r="J72" s="63">
        <f>SUM(I72:I72)</f>
        <v>0</v>
      </c>
    </row>
    <row r="73" spans="1:10" x14ac:dyDescent="0.25">
      <c r="A73" s="45" t="s">
        <v>6</v>
      </c>
      <c r="B73" s="32">
        <v>392</v>
      </c>
      <c r="D73" s="2" t="s">
        <v>6</v>
      </c>
      <c r="E73" s="23">
        <v>5474</v>
      </c>
      <c r="G73" s="126"/>
      <c r="I73" s="2" t="s">
        <v>6</v>
      </c>
      <c r="J73" s="1">
        <v>8670</v>
      </c>
    </row>
    <row r="74" spans="1:10" x14ac:dyDescent="0.25">
      <c r="A74" s="45" t="s">
        <v>7</v>
      </c>
      <c r="B74" s="32">
        <v>54</v>
      </c>
      <c r="D74" s="2" t="s">
        <v>7</v>
      </c>
      <c r="E74" s="23">
        <v>280</v>
      </c>
      <c r="G74" s="127"/>
      <c r="I74" s="2" t="s">
        <v>7</v>
      </c>
      <c r="J74" s="1">
        <v>1000</v>
      </c>
    </row>
    <row r="75" spans="1:10" x14ac:dyDescent="0.25">
      <c r="A75" s="45" t="s">
        <v>33</v>
      </c>
      <c r="B75" s="32">
        <f>SUM(B73:B74)</f>
        <v>446</v>
      </c>
      <c r="D75" s="2" t="s">
        <v>33</v>
      </c>
      <c r="E75" s="23">
        <f>SUM(E73:E74)</f>
        <v>5754</v>
      </c>
      <c r="I75" s="2" t="s">
        <v>33</v>
      </c>
      <c r="J75" s="2">
        <f>SUM(J73:J74)</f>
        <v>9670</v>
      </c>
    </row>
    <row r="78" spans="1:10" ht="75" x14ac:dyDescent="0.25">
      <c r="F78" s="42" t="s">
        <v>76</v>
      </c>
      <c r="G78" s="21">
        <f>+G5+G11+G17+G23+G29+G35+G41+G47+G53+G59+G65+G72</f>
        <v>301</v>
      </c>
    </row>
  </sheetData>
  <mergeCells count="62">
    <mergeCell ref="A72:B72"/>
    <mergeCell ref="D72:E72"/>
    <mergeCell ref="G72:G74"/>
    <mergeCell ref="A59:B59"/>
    <mergeCell ref="D59:E59"/>
    <mergeCell ref="G59:G61"/>
    <mergeCell ref="I59:J59"/>
    <mergeCell ref="P60:Q60"/>
    <mergeCell ref="A65:B65"/>
    <mergeCell ref="D65:E65"/>
    <mergeCell ref="G65:G67"/>
    <mergeCell ref="I65:J65"/>
    <mergeCell ref="L47:M47"/>
    <mergeCell ref="A53:B53"/>
    <mergeCell ref="D53:E53"/>
    <mergeCell ref="G53:G55"/>
    <mergeCell ref="I53:J53"/>
    <mergeCell ref="L53:M53"/>
    <mergeCell ref="A41:B41"/>
    <mergeCell ref="D41:E41"/>
    <mergeCell ref="G41:G43"/>
    <mergeCell ref="I41:J41"/>
    <mergeCell ref="A47:B47"/>
    <mergeCell ref="D47:E47"/>
    <mergeCell ref="G47:G49"/>
    <mergeCell ref="I47:J47"/>
    <mergeCell ref="V27:Y27"/>
    <mergeCell ref="A29:B29"/>
    <mergeCell ref="D29:E29"/>
    <mergeCell ref="G29:G31"/>
    <mergeCell ref="I29:J29"/>
    <mergeCell ref="A35:B35"/>
    <mergeCell ref="D35:E35"/>
    <mergeCell ref="G35:G37"/>
    <mergeCell ref="I35:J35"/>
    <mergeCell ref="T17:U17"/>
    <mergeCell ref="R20:R21"/>
    <mergeCell ref="N21:O21"/>
    <mergeCell ref="P21:Q21"/>
    <mergeCell ref="A23:B23"/>
    <mergeCell ref="D23:E23"/>
    <mergeCell ref="G23:G25"/>
    <mergeCell ref="I23:J23"/>
    <mergeCell ref="L24:O24"/>
    <mergeCell ref="Q24:T24"/>
    <mergeCell ref="A11:B11"/>
    <mergeCell ref="D11:E11"/>
    <mergeCell ref="G11:G13"/>
    <mergeCell ref="I11:J11"/>
    <mergeCell ref="A17:B17"/>
    <mergeCell ref="D17:E17"/>
    <mergeCell ref="G17:G19"/>
    <mergeCell ref="I17:J17"/>
    <mergeCell ref="A3:B3"/>
    <mergeCell ref="I3:J3"/>
    <mergeCell ref="T3:V3"/>
    <mergeCell ref="W4:Z4"/>
    <mergeCell ref="A5:B5"/>
    <mergeCell ref="D5:E5"/>
    <mergeCell ref="G5:G7"/>
    <mergeCell ref="I5:J5"/>
    <mergeCell ref="L6:R6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22" workbookViewId="0">
      <selection activeCell="I24" sqref="I24"/>
    </sheetView>
  </sheetViews>
  <sheetFormatPr defaultRowHeight="15" x14ac:dyDescent="0.25"/>
  <cols>
    <col min="1" max="2" width="16.5703125" bestFit="1" customWidth="1"/>
    <col min="3" max="3" width="18" bestFit="1" customWidth="1"/>
    <col min="4" max="4" width="18.28515625" customWidth="1"/>
    <col min="5" max="5" width="32" customWidth="1"/>
    <col min="6" max="6" width="21.140625" bestFit="1" customWidth="1"/>
  </cols>
  <sheetData>
    <row r="1" spans="1:3" ht="15.75" x14ac:dyDescent="0.25">
      <c r="A1" s="157" t="s">
        <v>104</v>
      </c>
      <c r="B1" s="158"/>
      <c r="C1" s="159"/>
    </row>
    <row r="2" spans="1:3" ht="30" x14ac:dyDescent="0.25">
      <c r="A2" s="7" t="s">
        <v>11</v>
      </c>
      <c r="B2" s="78" t="s">
        <v>103</v>
      </c>
      <c r="C2" s="7" t="s">
        <v>4</v>
      </c>
    </row>
    <row r="3" spans="1:3" x14ac:dyDescent="0.25">
      <c r="A3" s="2" t="s">
        <v>91</v>
      </c>
      <c r="B3" s="96">
        <v>12870915</v>
      </c>
      <c r="C3" s="77">
        <f>SUM(B3)</f>
        <v>12870915</v>
      </c>
    </row>
    <row r="4" spans="1:3" x14ac:dyDescent="0.25">
      <c r="A4" s="2" t="s">
        <v>92</v>
      </c>
      <c r="B4" s="1">
        <v>13060256</v>
      </c>
      <c r="C4" s="77">
        <f t="shared" ref="C4:C14" si="0">SUM(B4)</f>
        <v>13060256</v>
      </c>
    </row>
    <row r="5" spans="1:3" x14ac:dyDescent="0.25">
      <c r="A5" s="2" t="s">
        <v>93</v>
      </c>
      <c r="B5" s="1">
        <v>13523832</v>
      </c>
      <c r="C5" s="77">
        <f t="shared" si="0"/>
        <v>13523832</v>
      </c>
    </row>
    <row r="6" spans="1:3" x14ac:dyDescent="0.25">
      <c r="A6" s="2" t="s">
        <v>94</v>
      </c>
      <c r="B6" s="1">
        <v>13223299</v>
      </c>
      <c r="C6" s="77">
        <f t="shared" si="0"/>
        <v>13223299</v>
      </c>
    </row>
    <row r="7" spans="1:3" x14ac:dyDescent="0.25">
      <c r="A7" s="2" t="s">
        <v>95</v>
      </c>
      <c r="B7" s="1">
        <v>13074418</v>
      </c>
      <c r="C7" s="77">
        <f t="shared" si="0"/>
        <v>13074418</v>
      </c>
    </row>
    <row r="8" spans="1:3" x14ac:dyDescent="0.25">
      <c r="A8" s="2" t="s">
        <v>96</v>
      </c>
      <c r="B8" s="1">
        <v>13144459</v>
      </c>
      <c r="C8" s="77">
        <f t="shared" si="0"/>
        <v>13144459</v>
      </c>
    </row>
    <row r="9" spans="1:3" x14ac:dyDescent="0.25">
      <c r="A9" s="2" t="s">
        <v>97</v>
      </c>
      <c r="B9" s="1">
        <v>13113495</v>
      </c>
      <c r="C9" s="77">
        <f t="shared" si="0"/>
        <v>13113495</v>
      </c>
    </row>
    <row r="10" spans="1:3" x14ac:dyDescent="0.25">
      <c r="A10" s="2" t="s">
        <v>98</v>
      </c>
      <c r="B10" s="1">
        <v>14642858</v>
      </c>
      <c r="C10" s="77">
        <f t="shared" si="0"/>
        <v>14642858</v>
      </c>
    </row>
    <row r="11" spans="1:3" x14ac:dyDescent="0.25">
      <c r="A11" s="2" t="s">
        <v>99</v>
      </c>
      <c r="B11" s="1">
        <v>14560041</v>
      </c>
      <c r="C11" s="77">
        <f t="shared" si="0"/>
        <v>14560041</v>
      </c>
    </row>
    <row r="12" spans="1:3" x14ac:dyDescent="0.25">
      <c r="A12" s="2" t="s">
        <v>100</v>
      </c>
      <c r="B12" s="1">
        <v>14963349</v>
      </c>
      <c r="C12" s="77">
        <f t="shared" si="0"/>
        <v>14963349</v>
      </c>
    </row>
    <row r="13" spans="1:3" x14ac:dyDescent="0.25">
      <c r="A13" s="2" t="s">
        <v>101</v>
      </c>
      <c r="B13" s="1">
        <v>15068245</v>
      </c>
      <c r="C13" s="77">
        <f t="shared" si="0"/>
        <v>15068245</v>
      </c>
    </row>
    <row r="14" spans="1:3" x14ac:dyDescent="0.25">
      <c r="A14" s="71" t="s">
        <v>102</v>
      </c>
      <c r="B14" s="1">
        <v>15407878</v>
      </c>
      <c r="C14" s="77">
        <f t="shared" si="0"/>
        <v>15407878</v>
      </c>
    </row>
    <row r="15" spans="1:3" x14ac:dyDescent="0.25">
      <c r="A15" s="112" t="s">
        <v>4</v>
      </c>
      <c r="B15" s="160"/>
      <c r="C15" s="15">
        <f>SUM(C3:C14)</f>
        <v>166653045</v>
      </c>
    </row>
    <row r="17" spans="1:6" ht="45" customHeight="1" x14ac:dyDescent="0.25">
      <c r="A17" s="53"/>
      <c r="B17" s="74" t="s">
        <v>71</v>
      </c>
      <c r="C17" s="74" t="s">
        <v>124</v>
      </c>
      <c r="D17" s="74" t="s">
        <v>111</v>
      </c>
      <c r="E17" s="74" t="s">
        <v>112</v>
      </c>
      <c r="F17" s="74" t="s">
        <v>131</v>
      </c>
    </row>
    <row r="18" spans="1:6" x14ac:dyDescent="0.25">
      <c r="A18" s="79" t="s">
        <v>68</v>
      </c>
      <c r="B18" s="21">
        <v>405</v>
      </c>
      <c r="C18" s="21">
        <v>220</v>
      </c>
      <c r="D18" s="21">
        <v>220</v>
      </c>
      <c r="E18" s="42">
        <v>220</v>
      </c>
      <c r="F18" s="42">
        <v>0</v>
      </c>
    </row>
    <row r="19" spans="1:6" x14ac:dyDescent="0.25">
      <c r="A19" s="55" t="s">
        <v>69</v>
      </c>
      <c r="B19" s="21">
        <v>48</v>
      </c>
      <c r="C19" s="21">
        <v>20</v>
      </c>
      <c r="D19" s="21">
        <v>20</v>
      </c>
      <c r="E19" s="42">
        <v>36</v>
      </c>
      <c r="F19" s="42">
        <v>0</v>
      </c>
    </row>
    <row r="20" spans="1:6" x14ac:dyDescent="0.25">
      <c r="A20" s="55" t="s">
        <v>107</v>
      </c>
      <c r="B20" s="21">
        <v>0</v>
      </c>
      <c r="C20" s="21">
        <v>0</v>
      </c>
      <c r="D20" s="21">
        <v>0</v>
      </c>
      <c r="E20" s="42">
        <v>0</v>
      </c>
      <c r="F20" s="42">
        <v>0</v>
      </c>
    </row>
    <row r="21" spans="1:6" x14ac:dyDescent="0.25">
      <c r="A21" s="55" t="s">
        <v>4</v>
      </c>
      <c r="B21" s="21">
        <f>SUM(B18:B20)</f>
        <v>453</v>
      </c>
      <c r="C21" s="21">
        <f>SUM(C18:C20)</f>
        <v>240</v>
      </c>
      <c r="D21" s="21">
        <f>SUM(D18:D20)</f>
        <v>240</v>
      </c>
      <c r="E21" s="42">
        <f>SUM(E18:E20)</f>
        <v>256</v>
      </c>
      <c r="F21" s="42">
        <v>0</v>
      </c>
    </row>
    <row r="24" spans="1:6" x14ac:dyDescent="0.25">
      <c r="A24" s="145" t="s">
        <v>108</v>
      </c>
      <c r="B24" s="146"/>
      <c r="C24" s="146"/>
      <c r="D24" s="147"/>
    </row>
    <row r="25" spans="1:6" ht="45" customHeight="1" x14ac:dyDescent="0.25">
      <c r="A25" s="74" t="s">
        <v>109</v>
      </c>
      <c r="B25" s="74" t="s">
        <v>82</v>
      </c>
      <c r="C25" s="74" t="s">
        <v>110</v>
      </c>
      <c r="D25" s="74" t="s">
        <v>84</v>
      </c>
    </row>
    <row r="26" spans="1:6" ht="18" customHeight="1" x14ac:dyDescent="0.25">
      <c r="A26" s="21">
        <v>323</v>
      </c>
      <c r="B26" s="75">
        <v>8.3299999999999999E-2</v>
      </c>
      <c r="C26" s="21">
        <v>4655610</v>
      </c>
      <c r="D26" s="76">
        <v>45947</v>
      </c>
    </row>
  </sheetData>
  <mergeCells count="3">
    <mergeCell ref="A1:C1"/>
    <mergeCell ref="A15:B15"/>
    <mergeCell ref="A24:D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77"/>
  <sheetViews>
    <sheetView tabSelected="1" zoomScale="85" zoomScaleNormal="85" workbookViewId="0">
      <selection activeCell="Q17" sqref="Q17"/>
    </sheetView>
  </sheetViews>
  <sheetFormatPr defaultRowHeight="15" x14ac:dyDescent="0.25"/>
  <cols>
    <col min="1" max="2" width="10.7109375" customWidth="1"/>
    <col min="3" max="3" width="7.28515625" style="22" customWidth="1"/>
    <col min="4" max="5" width="7.7109375" bestFit="1" customWidth="1"/>
    <col min="6" max="6" width="7.28515625" customWidth="1"/>
    <col min="7" max="7" width="11.7109375" customWidth="1"/>
    <col min="8" max="8" width="7.140625" customWidth="1"/>
    <col min="9" max="9" width="7.7109375" bestFit="1" customWidth="1"/>
    <col min="10" max="10" width="7.7109375" customWidth="1"/>
    <col min="11" max="11" width="6.140625" customWidth="1"/>
    <col min="12" max="12" width="7" bestFit="1" customWidth="1"/>
    <col min="13" max="13" width="14.28515625" bestFit="1" customWidth="1"/>
    <col min="14" max="14" width="10.85546875" bestFit="1" customWidth="1"/>
    <col min="15" max="15" width="8.42578125" bestFit="1" customWidth="1"/>
    <col min="16" max="16" width="10.42578125" bestFit="1" customWidth="1"/>
    <col min="17" max="17" width="8.42578125" bestFit="1" customWidth="1"/>
    <col min="18" max="18" width="10.42578125" bestFit="1" customWidth="1"/>
    <col min="19" max="19" width="9.42578125" customWidth="1"/>
    <col min="21" max="21" width="6.7109375" bestFit="1" customWidth="1"/>
    <col min="22" max="22" width="21.42578125" customWidth="1"/>
    <col min="23" max="23" width="19.28515625" customWidth="1"/>
    <col min="24" max="24" width="14.85546875" customWidth="1"/>
    <col min="25" max="25" width="39" customWidth="1"/>
    <col min="26" max="27" width="20.7109375" customWidth="1"/>
    <col min="28" max="28" width="17" customWidth="1"/>
    <col min="30" max="30" width="44.85546875" bestFit="1" customWidth="1"/>
    <col min="31" max="31" width="15.5703125" bestFit="1" customWidth="1"/>
    <col min="32" max="32" width="14.42578125" bestFit="1" customWidth="1"/>
  </cols>
  <sheetData>
    <row r="3" spans="1:27" ht="18" customHeight="1" thickBot="1" x14ac:dyDescent="0.3">
      <c r="A3" s="169" t="s">
        <v>105</v>
      </c>
      <c r="B3" s="170"/>
      <c r="C3" s="24"/>
      <c r="D3" s="169" t="s">
        <v>114</v>
      </c>
      <c r="E3" s="170"/>
      <c r="G3" s="7" t="s">
        <v>40</v>
      </c>
      <c r="I3" s="169" t="s">
        <v>132</v>
      </c>
      <c r="J3" s="170"/>
      <c r="K3" s="85"/>
      <c r="L3" s="81"/>
      <c r="U3" s="117" t="s">
        <v>85</v>
      </c>
      <c r="V3" s="119"/>
      <c r="W3" s="118"/>
    </row>
    <row r="4" spans="1:27" ht="18" customHeight="1" thickBot="1" x14ac:dyDescent="0.3">
      <c r="A4" s="7" t="s">
        <v>106</v>
      </c>
      <c r="B4" s="7" t="s">
        <v>113</v>
      </c>
      <c r="C4" s="25"/>
      <c r="D4" s="7" t="s">
        <v>106</v>
      </c>
      <c r="E4" s="7" t="s">
        <v>4</v>
      </c>
      <c r="F4" s="6"/>
      <c r="G4" s="7" t="s">
        <v>20</v>
      </c>
      <c r="H4" s="6"/>
      <c r="I4" s="7" t="s">
        <v>106</v>
      </c>
      <c r="J4" s="7" t="s">
        <v>115</v>
      </c>
      <c r="K4" s="85"/>
      <c r="U4" s="7" t="s">
        <v>11</v>
      </c>
      <c r="V4" s="7" t="s">
        <v>45</v>
      </c>
      <c r="W4" s="7" t="s">
        <v>4</v>
      </c>
      <c r="X4" s="120" t="s">
        <v>67</v>
      </c>
      <c r="Y4" s="121"/>
      <c r="Z4" s="121"/>
      <c r="AA4" s="122"/>
    </row>
    <row r="5" spans="1:27" ht="18" customHeight="1" thickBot="1" x14ac:dyDescent="0.3">
      <c r="A5" s="117" t="s">
        <v>5</v>
      </c>
      <c r="B5" s="118"/>
      <c r="D5" s="117" t="s">
        <v>5</v>
      </c>
      <c r="E5" s="118"/>
      <c r="G5" s="125">
        <v>24</v>
      </c>
      <c r="I5" s="145" t="s">
        <v>40</v>
      </c>
      <c r="J5" s="147"/>
      <c r="K5" s="18"/>
      <c r="U5" s="2" t="s">
        <v>5</v>
      </c>
      <c r="V5" s="96">
        <v>12870915</v>
      </c>
      <c r="W5" s="14">
        <f t="shared" ref="W5:W16" si="0">SUM(V5:V5)</f>
        <v>12870915</v>
      </c>
      <c r="X5" s="33" t="s">
        <v>47</v>
      </c>
      <c r="Y5" s="34" t="s">
        <v>48</v>
      </c>
      <c r="Z5" s="34" t="s">
        <v>49</v>
      </c>
      <c r="AA5" s="34" t="s">
        <v>50</v>
      </c>
    </row>
    <row r="6" spans="1:27" ht="18" customHeight="1" thickBot="1" x14ac:dyDescent="0.3">
      <c r="A6" s="4" t="s">
        <v>6</v>
      </c>
      <c r="B6" s="3">
        <v>389</v>
      </c>
      <c r="D6" s="2" t="s">
        <v>6</v>
      </c>
      <c r="E6" s="23">
        <v>5386</v>
      </c>
      <c r="G6" s="126"/>
      <c r="H6" s="16"/>
      <c r="I6" s="2" t="s">
        <v>6</v>
      </c>
      <c r="J6" s="1">
        <v>11059</v>
      </c>
      <c r="K6" s="20"/>
      <c r="L6" s="171" t="s">
        <v>23</v>
      </c>
      <c r="M6" s="171"/>
      <c r="N6" s="171"/>
      <c r="O6" s="171"/>
      <c r="P6" s="171"/>
      <c r="Q6" s="171"/>
      <c r="R6" s="171"/>
      <c r="S6" s="171"/>
      <c r="U6" s="2" t="s">
        <v>8</v>
      </c>
      <c r="V6" s="1">
        <v>13060256</v>
      </c>
      <c r="W6" s="106">
        <f>SUM(V6:V6)</f>
        <v>13060256</v>
      </c>
      <c r="X6" s="35">
        <v>1</v>
      </c>
      <c r="Y6" s="36" t="s">
        <v>51</v>
      </c>
      <c r="Z6" s="68">
        <v>1198847</v>
      </c>
      <c r="AA6" s="68">
        <v>725050296</v>
      </c>
    </row>
    <row r="7" spans="1:27" ht="18" customHeight="1" thickBot="1" x14ac:dyDescent="0.3">
      <c r="A7" s="4" t="s">
        <v>7</v>
      </c>
      <c r="B7" s="3">
        <v>52</v>
      </c>
      <c r="D7" s="2" t="s">
        <v>7</v>
      </c>
      <c r="E7" s="23">
        <v>677</v>
      </c>
      <c r="G7" s="127"/>
      <c r="H7" s="16"/>
      <c r="I7" s="2" t="s">
        <v>7</v>
      </c>
      <c r="J7" s="1">
        <v>1442</v>
      </c>
      <c r="K7" s="20"/>
      <c r="L7" s="7" t="s">
        <v>11</v>
      </c>
      <c r="M7" s="7" t="s">
        <v>133</v>
      </c>
      <c r="N7" s="7" t="s">
        <v>121</v>
      </c>
      <c r="O7" s="7" t="s">
        <v>122</v>
      </c>
      <c r="P7" s="7" t="s">
        <v>123</v>
      </c>
      <c r="Q7" s="7" t="s">
        <v>37</v>
      </c>
      <c r="R7" s="7" t="s">
        <v>38</v>
      </c>
      <c r="S7" s="7" t="s">
        <v>39</v>
      </c>
      <c r="U7" s="2" t="s">
        <v>9</v>
      </c>
      <c r="V7" s="1">
        <v>13523832</v>
      </c>
      <c r="W7" s="106">
        <f t="shared" si="0"/>
        <v>13523832</v>
      </c>
      <c r="X7" s="35">
        <v>2</v>
      </c>
      <c r="Y7" s="36" t="s">
        <v>57</v>
      </c>
      <c r="Z7" s="68">
        <v>592255</v>
      </c>
      <c r="AA7" s="68">
        <v>99428747</v>
      </c>
    </row>
    <row r="8" spans="1:27" ht="18" customHeight="1" thickBot="1" x14ac:dyDescent="0.3">
      <c r="A8" s="4" t="s">
        <v>4</v>
      </c>
      <c r="B8" s="4">
        <f>SUM(B6:B7)</f>
        <v>441</v>
      </c>
      <c r="C8" s="27"/>
      <c r="D8" s="4" t="s">
        <v>4</v>
      </c>
      <c r="E8" s="26">
        <f>SUM(E6:E7)</f>
        <v>6063</v>
      </c>
      <c r="F8" s="28"/>
      <c r="G8" s="18"/>
      <c r="H8" s="28"/>
      <c r="I8" s="4" t="s">
        <v>4</v>
      </c>
      <c r="J8" s="2">
        <f>J6+J7</f>
        <v>12501</v>
      </c>
      <c r="K8" s="17"/>
      <c r="L8" s="21" t="s">
        <v>40</v>
      </c>
      <c r="M8" s="82">
        <f>+J8</f>
        <v>12501</v>
      </c>
      <c r="N8" s="83">
        <f>+G5</f>
        <v>24</v>
      </c>
      <c r="O8" s="82">
        <f>+B6</f>
        <v>389</v>
      </c>
      <c r="P8" s="82">
        <f>+B7</f>
        <v>52</v>
      </c>
      <c r="Q8" s="82">
        <f>+E6</f>
        <v>5386</v>
      </c>
      <c r="R8" s="82">
        <f>+E7</f>
        <v>677</v>
      </c>
      <c r="S8" s="84">
        <f>+Q8+R8</f>
        <v>6063</v>
      </c>
      <c r="U8" s="2" t="s">
        <v>10</v>
      </c>
      <c r="V8" s="1">
        <v>13223299</v>
      </c>
      <c r="W8" s="106">
        <f t="shared" si="0"/>
        <v>13223299</v>
      </c>
      <c r="X8" s="35">
        <v>3</v>
      </c>
      <c r="Y8" s="36" t="s">
        <v>89</v>
      </c>
      <c r="Z8" s="68">
        <v>853</v>
      </c>
      <c r="AA8" s="68">
        <v>712314</v>
      </c>
    </row>
    <row r="9" spans="1:27" ht="18" customHeight="1" thickBot="1" x14ac:dyDescent="0.3">
      <c r="A9" s="17"/>
      <c r="B9" s="20"/>
      <c r="C9" s="25"/>
      <c r="D9" s="17"/>
      <c r="E9" s="20"/>
      <c r="I9" s="17"/>
      <c r="J9" s="17"/>
      <c r="K9" s="17"/>
      <c r="L9" s="21" t="s">
        <v>8</v>
      </c>
      <c r="M9" s="21">
        <f>+J14</f>
        <v>12765</v>
      </c>
      <c r="N9" s="83">
        <f>+G12</f>
        <v>26</v>
      </c>
      <c r="O9" s="21">
        <f>+B12</f>
        <v>411</v>
      </c>
      <c r="P9" s="21">
        <f>+B13</f>
        <v>47</v>
      </c>
      <c r="Q9" s="21">
        <f>+E12</f>
        <v>7000</v>
      </c>
      <c r="R9" s="21">
        <f>+E13</f>
        <v>796</v>
      </c>
      <c r="S9" s="29">
        <f t="shared" ref="S9:S19" si="1">+Q9+R9</f>
        <v>7796</v>
      </c>
      <c r="U9" s="2" t="s">
        <v>12</v>
      </c>
      <c r="V9" s="1">
        <v>13074418</v>
      </c>
      <c r="W9" s="106">
        <f t="shared" si="0"/>
        <v>13074418</v>
      </c>
      <c r="X9" s="35">
        <v>4</v>
      </c>
      <c r="Y9" s="36" t="s">
        <v>59</v>
      </c>
      <c r="Z9" s="68">
        <v>753618</v>
      </c>
      <c r="AA9" s="68">
        <v>78218211</v>
      </c>
    </row>
    <row r="10" spans="1:27" ht="18" customHeight="1" thickBot="1" x14ac:dyDescent="0.3">
      <c r="A10" s="7" t="s">
        <v>106</v>
      </c>
      <c r="B10" s="7" t="s">
        <v>113</v>
      </c>
      <c r="D10" s="7" t="s">
        <v>106</v>
      </c>
      <c r="E10" s="73" t="s">
        <v>2</v>
      </c>
      <c r="F10" s="6"/>
      <c r="G10" s="7" t="s">
        <v>8</v>
      </c>
      <c r="H10" s="6"/>
      <c r="I10" s="7" t="s">
        <v>106</v>
      </c>
      <c r="J10" s="7" t="s">
        <v>115</v>
      </c>
      <c r="K10" s="85"/>
      <c r="L10" s="21" t="s">
        <v>41</v>
      </c>
      <c r="M10" s="21">
        <f>+E20</f>
        <v>7939</v>
      </c>
      <c r="N10" s="83">
        <f>+G18</f>
        <v>24</v>
      </c>
      <c r="O10" s="21">
        <f>+B18</f>
        <v>413</v>
      </c>
      <c r="P10" s="29">
        <f>+B19</f>
        <v>50</v>
      </c>
      <c r="Q10" s="29">
        <v>8209</v>
      </c>
      <c r="R10" s="29">
        <v>573</v>
      </c>
      <c r="S10" s="29">
        <f t="shared" si="1"/>
        <v>8782</v>
      </c>
      <c r="U10" s="2" t="s">
        <v>13</v>
      </c>
      <c r="V10" s="1">
        <v>13144459</v>
      </c>
      <c r="W10" s="106">
        <f t="shared" si="0"/>
        <v>13144459</v>
      </c>
      <c r="X10" s="35">
        <v>5</v>
      </c>
      <c r="Y10" s="36" t="s">
        <v>90</v>
      </c>
      <c r="Z10" s="68">
        <v>116677</v>
      </c>
      <c r="AA10" s="68">
        <v>171741722</v>
      </c>
    </row>
    <row r="11" spans="1:27" ht="18" customHeight="1" thickBot="1" x14ac:dyDescent="0.3">
      <c r="A11" s="117" t="s">
        <v>8</v>
      </c>
      <c r="B11" s="118"/>
      <c r="D11" s="117" t="s">
        <v>8</v>
      </c>
      <c r="E11" s="118"/>
      <c r="G11" s="7" t="s">
        <v>20</v>
      </c>
      <c r="I11" s="145" t="s">
        <v>8</v>
      </c>
      <c r="J11" s="147"/>
      <c r="K11" s="85"/>
      <c r="L11" s="21" t="s">
        <v>42</v>
      </c>
      <c r="M11" s="21">
        <f>+J26</f>
        <v>12786.5</v>
      </c>
      <c r="N11" s="83">
        <f>+G24</f>
        <v>24</v>
      </c>
      <c r="O11" s="21">
        <f>+B24</f>
        <v>408</v>
      </c>
      <c r="P11" s="29">
        <f>+B25</f>
        <v>46</v>
      </c>
      <c r="Q11" s="29">
        <v>6152</v>
      </c>
      <c r="R11" s="29">
        <v>588</v>
      </c>
      <c r="S11" s="29">
        <f t="shared" si="1"/>
        <v>6740</v>
      </c>
      <c r="U11" s="2" t="s">
        <v>14</v>
      </c>
      <c r="V11" s="1">
        <v>13113495</v>
      </c>
      <c r="W11" s="106">
        <f t="shared" si="0"/>
        <v>13113495</v>
      </c>
      <c r="X11" s="35">
        <v>6</v>
      </c>
      <c r="Y11" s="36" t="s">
        <v>65</v>
      </c>
      <c r="Z11" s="68">
        <v>343225</v>
      </c>
      <c r="AA11" s="68">
        <v>22857842</v>
      </c>
    </row>
    <row r="12" spans="1:27" ht="18" customHeight="1" thickBot="1" x14ac:dyDescent="0.3">
      <c r="A12" s="4" t="s">
        <v>6</v>
      </c>
      <c r="B12" s="1">
        <v>411</v>
      </c>
      <c r="D12" s="4" t="s">
        <v>6</v>
      </c>
      <c r="E12" s="23">
        <v>7000</v>
      </c>
      <c r="G12" s="125">
        <v>26</v>
      </c>
      <c r="I12" s="2" t="s">
        <v>6</v>
      </c>
      <c r="J12" s="1">
        <v>11403</v>
      </c>
      <c r="K12" s="86"/>
      <c r="L12" s="21" t="s">
        <v>12</v>
      </c>
      <c r="M12" s="21">
        <f>+J32</f>
        <v>12034</v>
      </c>
      <c r="N12" s="83">
        <f>+G30</f>
        <v>24</v>
      </c>
      <c r="O12" s="109">
        <f>+B30</f>
        <v>400</v>
      </c>
      <c r="P12" s="29">
        <f>+B31</f>
        <v>43</v>
      </c>
      <c r="Q12" s="29">
        <v>6143</v>
      </c>
      <c r="R12" s="29">
        <v>473</v>
      </c>
      <c r="S12" s="29">
        <f t="shared" si="1"/>
        <v>6616</v>
      </c>
      <c r="U12" s="2" t="s">
        <v>15</v>
      </c>
      <c r="V12" s="1">
        <v>14642858</v>
      </c>
      <c r="W12" s="106">
        <f t="shared" si="0"/>
        <v>14642858</v>
      </c>
      <c r="X12" s="120" t="s">
        <v>33</v>
      </c>
      <c r="Y12" s="122"/>
      <c r="Z12" s="68">
        <f>SUM(Z6:Z11)</f>
        <v>3005475</v>
      </c>
      <c r="AA12" s="68">
        <f>SUM(AA6:AA11)</f>
        <v>1098009132</v>
      </c>
    </row>
    <row r="13" spans="1:27" ht="18" customHeight="1" x14ac:dyDescent="0.25">
      <c r="A13" s="4" t="s">
        <v>7</v>
      </c>
      <c r="B13" s="1">
        <v>47</v>
      </c>
      <c r="D13" s="4" t="s">
        <v>7</v>
      </c>
      <c r="E13" s="23">
        <v>796</v>
      </c>
      <c r="G13" s="126"/>
      <c r="I13" s="2" t="s">
        <v>7</v>
      </c>
      <c r="J13" s="1">
        <v>1362</v>
      </c>
      <c r="K13" s="86"/>
      <c r="L13" s="21" t="s">
        <v>46</v>
      </c>
      <c r="M13" s="21">
        <f>+J38</f>
        <v>12467.5</v>
      </c>
      <c r="N13" s="83">
        <f>+G36</f>
        <v>27</v>
      </c>
      <c r="O13" s="29">
        <f>+B36</f>
        <v>403</v>
      </c>
      <c r="P13" s="29">
        <f>+B37</f>
        <v>46</v>
      </c>
      <c r="Q13" s="29">
        <v>6660</v>
      </c>
      <c r="R13" s="29">
        <v>1190</v>
      </c>
      <c r="S13" s="29">
        <f t="shared" si="1"/>
        <v>7850</v>
      </c>
      <c r="U13" s="2" t="s">
        <v>16</v>
      </c>
      <c r="V13" s="1">
        <v>14560041</v>
      </c>
      <c r="W13" s="106">
        <f>+V13</f>
        <v>14560041</v>
      </c>
    </row>
    <row r="14" spans="1:27" ht="18" customHeight="1" x14ac:dyDescent="0.25">
      <c r="A14" s="2" t="s">
        <v>4</v>
      </c>
      <c r="B14" s="1">
        <f>SUM(B12:B13)</f>
        <v>458</v>
      </c>
      <c r="D14" s="2" t="s">
        <v>4</v>
      </c>
      <c r="E14" s="23">
        <f>SUM(E12:E13)</f>
        <v>7796</v>
      </c>
      <c r="G14" s="127"/>
      <c r="I14" s="4" t="s">
        <v>4</v>
      </c>
      <c r="J14" s="2">
        <f>J12+J13</f>
        <v>12765</v>
      </c>
      <c r="K14" s="19"/>
      <c r="L14" s="21" t="s">
        <v>43</v>
      </c>
      <c r="M14" s="21">
        <f>+J44</f>
        <v>12127.5</v>
      </c>
      <c r="N14" s="83">
        <f>+G42</f>
        <v>26</v>
      </c>
      <c r="O14" s="29">
        <f>+B42</f>
        <v>397</v>
      </c>
      <c r="P14" s="29">
        <f>+B43</f>
        <v>47</v>
      </c>
      <c r="Q14" s="29">
        <v>5617</v>
      </c>
      <c r="R14" s="29">
        <v>663</v>
      </c>
      <c r="S14" s="29">
        <f t="shared" si="1"/>
        <v>6280</v>
      </c>
      <c r="U14" s="2" t="s">
        <v>17</v>
      </c>
      <c r="V14" s="1">
        <v>14963349</v>
      </c>
      <c r="W14" s="14">
        <f t="shared" si="0"/>
        <v>14963349</v>
      </c>
      <c r="Z14" s="70"/>
    </row>
    <row r="15" spans="1:27" ht="18" customHeight="1" x14ac:dyDescent="0.25">
      <c r="A15" s="19"/>
      <c r="B15" s="20"/>
      <c r="C15" s="25"/>
      <c r="D15" s="19"/>
      <c r="E15" s="20"/>
      <c r="J15" s="2"/>
      <c r="K15" s="19"/>
      <c r="L15" s="21" t="s">
        <v>15</v>
      </c>
      <c r="M15" s="21">
        <f>+J50</f>
        <v>13198</v>
      </c>
      <c r="N15" s="83">
        <f>+G48</f>
        <v>25</v>
      </c>
      <c r="O15" s="29">
        <f>+B48</f>
        <v>414</v>
      </c>
      <c r="P15" s="29">
        <f>+B49</f>
        <v>47</v>
      </c>
      <c r="Q15" s="29">
        <v>7449</v>
      </c>
      <c r="R15" s="29">
        <v>918</v>
      </c>
      <c r="S15" s="29">
        <f t="shared" si="1"/>
        <v>8367</v>
      </c>
      <c r="U15" s="2" t="s">
        <v>18</v>
      </c>
      <c r="V15" s="1">
        <v>15068245</v>
      </c>
      <c r="W15" s="14">
        <f t="shared" si="0"/>
        <v>15068245</v>
      </c>
      <c r="Z15" s="70"/>
    </row>
    <row r="16" spans="1:27" ht="18" customHeight="1" x14ac:dyDescent="0.25">
      <c r="A16" s="7" t="s">
        <v>106</v>
      </c>
      <c r="B16" s="7" t="s">
        <v>113</v>
      </c>
      <c r="D16" s="7" t="s">
        <v>106</v>
      </c>
      <c r="E16" s="31" t="s">
        <v>2</v>
      </c>
      <c r="F16" s="6"/>
      <c r="G16" s="7" t="s">
        <v>41</v>
      </c>
      <c r="H16" s="6"/>
      <c r="I16" s="7" t="s">
        <v>106</v>
      </c>
      <c r="J16" s="7" t="s">
        <v>115</v>
      </c>
      <c r="K16" s="85"/>
      <c r="L16" s="21" t="s">
        <v>16</v>
      </c>
      <c r="M16" s="21">
        <f>+J56</f>
        <v>13046</v>
      </c>
      <c r="N16" s="83">
        <f>+G54</f>
        <v>26</v>
      </c>
      <c r="O16" s="29">
        <f>+B54</f>
        <v>409</v>
      </c>
      <c r="P16" s="29">
        <f>+B55</f>
        <v>46</v>
      </c>
      <c r="Q16" s="29">
        <v>3752</v>
      </c>
      <c r="R16" s="29">
        <v>48</v>
      </c>
      <c r="S16" s="29">
        <f t="shared" si="1"/>
        <v>3800</v>
      </c>
      <c r="U16" s="2" t="s">
        <v>19</v>
      </c>
      <c r="V16" s="1">
        <v>15407878</v>
      </c>
      <c r="W16" s="14">
        <f t="shared" si="0"/>
        <v>15407878</v>
      </c>
      <c r="Z16" s="70"/>
    </row>
    <row r="17" spans="1:28" ht="18" customHeight="1" x14ac:dyDescent="0.25">
      <c r="A17" s="117" t="s">
        <v>9</v>
      </c>
      <c r="B17" s="118"/>
      <c r="D17" s="117" t="s">
        <v>9</v>
      </c>
      <c r="E17" s="118"/>
      <c r="G17" s="7" t="s">
        <v>20</v>
      </c>
      <c r="I17" s="145" t="s">
        <v>9</v>
      </c>
      <c r="J17" s="147"/>
      <c r="K17" s="85"/>
      <c r="L17" s="21" t="s">
        <v>17</v>
      </c>
      <c r="M17" s="21">
        <f>+J62</f>
        <v>12381.5</v>
      </c>
      <c r="N17" s="83">
        <f>+G60</f>
        <v>22</v>
      </c>
      <c r="O17" s="29">
        <f>+B60</f>
        <v>399</v>
      </c>
      <c r="P17" s="29">
        <f>+B61</f>
        <v>52</v>
      </c>
      <c r="Q17" s="29">
        <v>3339</v>
      </c>
      <c r="R17" s="29">
        <v>90</v>
      </c>
      <c r="S17" s="29">
        <f t="shared" si="1"/>
        <v>3429</v>
      </c>
      <c r="U17" s="112" t="s">
        <v>4</v>
      </c>
      <c r="V17" s="114"/>
      <c r="W17" s="15">
        <f>SUM(W5:W16)</f>
        <v>166653045</v>
      </c>
      <c r="Z17" s="70"/>
    </row>
    <row r="18" spans="1:28" ht="18" customHeight="1" x14ac:dyDescent="0.25">
      <c r="A18" s="2" t="s">
        <v>6</v>
      </c>
      <c r="B18" s="1">
        <v>413</v>
      </c>
      <c r="D18" s="2" t="s">
        <v>6</v>
      </c>
      <c r="E18" s="1">
        <v>7052</v>
      </c>
      <c r="G18" s="125">
        <v>24</v>
      </c>
      <c r="I18" s="2" t="s">
        <v>6</v>
      </c>
      <c r="J18" s="108">
        <v>11850.5</v>
      </c>
      <c r="K18" s="20"/>
      <c r="L18" s="21" t="s">
        <v>18</v>
      </c>
      <c r="M18" s="21">
        <f>+J62</f>
        <v>12381.5</v>
      </c>
      <c r="N18" s="83">
        <f>+G66</f>
        <v>26</v>
      </c>
      <c r="O18" s="21">
        <f>+B66</f>
        <v>395</v>
      </c>
      <c r="P18" s="21">
        <f>+B67</f>
        <v>49</v>
      </c>
      <c r="Q18" s="21">
        <v>3914</v>
      </c>
      <c r="R18" s="21">
        <v>60</v>
      </c>
      <c r="S18" s="29">
        <f t="shared" si="1"/>
        <v>3974</v>
      </c>
      <c r="V18" s="13"/>
      <c r="W18" s="13"/>
      <c r="X18" s="13"/>
      <c r="Y18" s="13"/>
      <c r="Z18" s="70"/>
    </row>
    <row r="19" spans="1:28" ht="18" customHeight="1" x14ac:dyDescent="0.25">
      <c r="A19" s="2" t="s">
        <v>7</v>
      </c>
      <c r="B19" s="1">
        <v>50</v>
      </c>
      <c r="D19" s="2" t="s">
        <v>7</v>
      </c>
      <c r="E19" s="1">
        <v>887</v>
      </c>
      <c r="G19" s="126"/>
      <c r="I19" s="2" t="s">
        <v>7</v>
      </c>
      <c r="J19" s="23">
        <v>1205.5</v>
      </c>
      <c r="K19" s="20"/>
      <c r="L19" s="21" t="s">
        <v>19</v>
      </c>
      <c r="M19" s="21">
        <f>+J74</f>
        <v>12592</v>
      </c>
      <c r="N19" s="83">
        <f>+G72</f>
        <v>26</v>
      </c>
      <c r="O19" s="21">
        <f>+B72</f>
        <v>405</v>
      </c>
      <c r="P19" s="21">
        <f>+B73</f>
        <v>48</v>
      </c>
      <c r="Q19" s="21">
        <v>5474</v>
      </c>
      <c r="R19" s="21">
        <v>280</v>
      </c>
      <c r="S19" s="29">
        <f t="shared" si="1"/>
        <v>5754</v>
      </c>
      <c r="Z19" s="70"/>
      <c r="AA19" s="43"/>
      <c r="AB19" s="41"/>
    </row>
    <row r="20" spans="1:28" ht="18" customHeight="1" x14ac:dyDescent="0.25">
      <c r="A20" s="2" t="s">
        <v>4</v>
      </c>
      <c r="B20" s="1">
        <f>SUM(B18:B19)</f>
        <v>463</v>
      </c>
      <c r="D20" s="4" t="s">
        <v>4</v>
      </c>
      <c r="E20" s="2">
        <f>E18+E19</f>
        <v>7939</v>
      </c>
      <c r="G20" s="127"/>
      <c r="I20" s="4" t="s">
        <v>4</v>
      </c>
      <c r="J20" s="23">
        <f>SUM(J18:J19)</f>
        <v>13056</v>
      </c>
      <c r="K20" s="20"/>
      <c r="L20" s="125" t="s">
        <v>4</v>
      </c>
      <c r="M20" s="88">
        <f>SUM(M8:M19)</f>
        <v>146219.5</v>
      </c>
      <c r="N20" s="89">
        <f>SUM(N8:N19)</f>
        <v>300</v>
      </c>
      <c r="O20" s="72">
        <f t="shared" ref="O20:S20" si="2">SUM(O8:O19)</f>
        <v>4843</v>
      </c>
      <c r="P20" s="72">
        <f t="shared" si="2"/>
        <v>573</v>
      </c>
      <c r="Q20" s="72">
        <f t="shared" si="2"/>
        <v>69095</v>
      </c>
      <c r="R20" s="72">
        <f t="shared" si="2"/>
        <v>6356</v>
      </c>
      <c r="S20" s="133">
        <f t="shared" si="2"/>
        <v>75451</v>
      </c>
      <c r="Z20" s="70"/>
    </row>
    <row r="21" spans="1:28" ht="18" customHeight="1" x14ac:dyDescent="0.25">
      <c r="A21" s="19"/>
      <c r="B21" s="20"/>
      <c r="C21" s="25"/>
      <c r="D21" s="19"/>
      <c r="E21" s="20"/>
      <c r="J21" s="2"/>
      <c r="K21" s="17"/>
      <c r="L21" s="126"/>
      <c r="M21" s="90">
        <f>M20*8</f>
        <v>1169756</v>
      </c>
      <c r="N21" s="72"/>
      <c r="O21" s="163">
        <f>+O20+P20</f>
        <v>5416</v>
      </c>
      <c r="P21" s="164"/>
      <c r="Q21" s="163">
        <f>+Q20+R20</f>
        <v>75451</v>
      </c>
      <c r="R21" s="164"/>
      <c r="S21" s="134"/>
      <c r="Z21" s="70"/>
    </row>
    <row r="22" spans="1:28" ht="18" customHeight="1" x14ac:dyDescent="0.25">
      <c r="A22" s="7" t="s">
        <v>106</v>
      </c>
      <c r="B22" s="7" t="s">
        <v>113</v>
      </c>
      <c r="D22" s="7" t="s">
        <v>106</v>
      </c>
      <c r="E22" s="31" t="s">
        <v>2</v>
      </c>
      <c r="F22" s="6"/>
      <c r="G22" s="7" t="s">
        <v>42</v>
      </c>
      <c r="H22" s="6"/>
      <c r="I22" s="7" t="s">
        <v>106</v>
      </c>
      <c r="J22" s="7" t="s">
        <v>115</v>
      </c>
      <c r="K22" s="85"/>
      <c r="L22" s="127"/>
      <c r="M22" s="91">
        <f>SUM(N22:O22)</f>
        <v>451.33333333333331</v>
      </c>
      <c r="N22" s="92">
        <f>+O20/12</f>
        <v>403.58333333333331</v>
      </c>
      <c r="O22" s="92">
        <f>+P20/12</f>
        <v>47.75</v>
      </c>
      <c r="P22" s="93">
        <f>+M21+Q21</f>
        <v>1245207</v>
      </c>
      <c r="Z22" s="70"/>
    </row>
    <row r="23" spans="1:28" ht="18" customHeight="1" x14ac:dyDescent="0.25">
      <c r="A23" s="117" t="s">
        <v>10</v>
      </c>
      <c r="B23" s="118"/>
      <c r="D23" s="117" t="s">
        <v>10</v>
      </c>
      <c r="E23" s="118"/>
      <c r="G23" s="7" t="s">
        <v>20</v>
      </c>
      <c r="I23" s="145" t="s">
        <v>10</v>
      </c>
      <c r="J23" s="147"/>
      <c r="K23" s="85"/>
      <c r="M23" s="6"/>
      <c r="N23" s="6"/>
      <c r="O23" s="6"/>
      <c r="P23" s="94">
        <f>+P22/8</f>
        <v>155650.875</v>
      </c>
      <c r="Z23" s="70"/>
    </row>
    <row r="24" spans="1:28" ht="18" customHeight="1" x14ac:dyDescent="0.25">
      <c r="A24" s="2" t="s">
        <v>6</v>
      </c>
      <c r="B24" s="1">
        <v>408</v>
      </c>
      <c r="D24" s="2" t="s">
        <v>6</v>
      </c>
      <c r="E24" s="23">
        <v>8518</v>
      </c>
      <c r="G24" s="125">
        <v>24</v>
      </c>
      <c r="I24" s="2" t="s">
        <v>6</v>
      </c>
      <c r="J24" s="1">
        <v>11536</v>
      </c>
      <c r="K24" s="86"/>
      <c r="M24" s="165" t="s">
        <v>116</v>
      </c>
      <c r="N24" s="166"/>
      <c r="O24" s="166"/>
      <c r="P24" s="167"/>
      <c r="R24" s="165" t="s">
        <v>117</v>
      </c>
      <c r="S24" s="166"/>
      <c r="T24" s="166"/>
      <c r="U24" s="167"/>
      <c r="Z24" s="70"/>
    </row>
    <row r="25" spans="1:28" ht="18" customHeight="1" x14ac:dyDescent="0.25">
      <c r="A25" s="2" t="s">
        <v>7</v>
      </c>
      <c r="B25" s="1">
        <v>46</v>
      </c>
      <c r="D25" s="2" t="s">
        <v>7</v>
      </c>
      <c r="E25" s="23">
        <v>1135</v>
      </c>
      <c r="G25" s="126"/>
      <c r="I25" s="2" t="s">
        <v>7</v>
      </c>
      <c r="J25" s="1">
        <v>1250.5</v>
      </c>
      <c r="K25" s="86"/>
      <c r="M25" s="7" t="s">
        <v>11</v>
      </c>
      <c r="N25" s="7" t="s">
        <v>6</v>
      </c>
      <c r="O25" s="7" t="s">
        <v>7</v>
      </c>
      <c r="P25" s="7" t="s">
        <v>4</v>
      </c>
      <c r="R25" s="7" t="s">
        <v>11</v>
      </c>
      <c r="S25" s="7" t="s">
        <v>6</v>
      </c>
      <c r="T25" s="7" t="s">
        <v>7</v>
      </c>
      <c r="U25" s="7" t="s">
        <v>4</v>
      </c>
      <c r="Z25" s="70"/>
    </row>
    <row r="26" spans="1:28" ht="18" customHeight="1" x14ac:dyDescent="0.25">
      <c r="A26" s="2" t="s">
        <v>4</v>
      </c>
      <c r="B26" s="1">
        <f>SUM(B24:B25)</f>
        <v>454</v>
      </c>
      <c r="D26" s="4" t="s">
        <v>4</v>
      </c>
      <c r="E26" s="23">
        <f>SUM(E24:E25)</f>
        <v>9653</v>
      </c>
      <c r="G26" s="127"/>
      <c r="I26" s="4" t="s">
        <v>4</v>
      </c>
      <c r="J26" s="103">
        <f>J24+J25</f>
        <v>12786.5</v>
      </c>
      <c r="K26" s="19"/>
      <c r="M26" s="2" t="s">
        <v>5</v>
      </c>
      <c r="N26" s="3">
        <v>237</v>
      </c>
      <c r="O26" s="1">
        <v>30</v>
      </c>
      <c r="P26" s="14">
        <f t="shared" ref="P26:P37" si="3">SUM(N26:O26)</f>
        <v>267</v>
      </c>
      <c r="R26" s="2" t="s">
        <v>5</v>
      </c>
      <c r="S26" s="1">
        <v>106</v>
      </c>
      <c r="T26" s="1">
        <v>213</v>
      </c>
      <c r="U26" s="1">
        <f>SUM(S26:T26)</f>
        <v>319</v>
      </c>
      <c r="W26" s="145" t="s">
        <v>129</v>
      </c>
      <c r="X26" s="146"/>
      <c r="Y26" s="146"/>
      <c r="Z26" s="147"/>
    </row>
    <row r="27" spans="1:28" ht="18" customHeight="1" x14ac:dyDescent="0.25">
      <c r="A27" s="19"/>
      <c r="B27" s="20"/>
      <c r="C27" s="25"/>
      <c r="D27" s="19"/>
      <c r="E27" s="20"/>
      <c r="J27" s="2"/>
      <c r="K27" s="19"/>
      <c r="M27" s="2" t="s">
        <v>8</v>
      </c>
      <c r="N27" s="3">
        <v>253</v>
      </c>
      <c r="O27" s="1">
        <v>28</v>
      </c>
      <c r="P27" s="14">
        <f t="shared" si="3"/>
        <v>281</v>
      </c>
      <c r="R27" s="2" t="s">
        <v>8</v>
      </c>
      <c r="S27" s="1">
        <v>94</v>
      </c>
      <c r="T27" s="1">
        <v>255</v>
      </c>
      <c r="U27" s="1">
        <f t="shared" ref="U27:U28" si="4">SUM(S27:T27)</f>
        <v>349</v>
      </c>
      <c r="W27" s="162" t="s">
        <v>130</v>
      </c>
      <c r="X27" s="161" t="s">
        <v>82</v>
      </c>
      <c r="Y27" s="161" t="s">
        <v>83</v>
      </c>
      <c r="Z27" s="161" t="s">
        <v>84</v>
      </c>
    </row>
    <row r="28" spans="1:28" ht="18" customHeight="1" x14ac:dyDescent="0.25">
      <c r="A28" s="7" t="s">
        <v>106</v>
      </c>
      <c r="B28" s="7" t="s">
        <v>113</v>
      </c>
      <c r="D28" s="7" t="s">
        <v>106</v>
      </c>
      <c r="E28" s="31" t="s">
        <v>2</v>
      </c>
      <c r="F28" s="6"/>
      <c r="G28" s="7" t="s">
        <v>12</v>
      </c>
      <c r="H28" s="6"/>
      <c r="I28" s="7" t="s">
        <v>106</v>
      </c>
      <c r="J28" s="7" t="s">
        <v>115</v>
      </c>
      <c r="K28" s="85"/>
      <c r="M28" s="2" t="s">
        <v>9</v>
      </c>
      <c r="N28" s="3">
        <v>237</v>
      </c>
      <c r="O28" s="1">
        <v>40</v>
      </c>
      <c r="P28" s="14">
        <f t="shared" si="3"/>
        <v>277</v>
      </c>
      <c r="R28" s="2" t="s">
        <v>9</v>
      </c>
      <c r="S28" s="1">
        <v>90</v>
      </c>
      <c r="T28" s="1">
        <v>252</v>
      </c>
      <c r="U28" s="1">
        <f t="shared" si="4"/>
        <v>342</v>
      </c>
      <c r="W28" s="162"/>
      <c r="X28" s="161"/>
      <c r="Y28" s="161"/>
      <c r="Z28" s="161"/>
    </row>
    <row r="29" spans="1:28" ht="18" customHeight="1" x14ac:dyDescent="0.25">
      <c r="A29" s="117" t="s">
        <v>12</v>
      </c>
      <c r="B29" s="118"/>
      <c r="D29" s="117" t="s">
        <v>12</v>
      </c>
      <c r="E29" s="118"/>
      <c r="G29" s="7" t="s">
        <v>20</v>
      </c>
      <c r="I29" s="145" t="s">
        <v>12</v>
      </c>
      <c r="J29" s="147"/>
      <c r="K29" s="85"/>
      <c r="M29" s="2" t="s">
        <v>10</v>
      </c>
      <c r="N29" s="3">
        <v>244</v>
      </c>
      <c r="O29" s="1">
        <v>48</v>
      </c>
      <c r="P29" s="14">
        <f t="shared" si="3"/>
        <v>292</v>
      </c>
      <c r="R29" s="2" t="s">
        <v>10</v>
      </c>
      <c r="S29" s="1">
        <v>131</v>
      </c>
      <c r="T29" s="1">
        <v>212</v>
      </c>
      <c r="U29" s="1">
        <f>SUM(S29:T29)</f>
        <v>343</v>
      </c>
      <c r="W29" s="44">
        <v>341</v>
      </c>
      <c r="X29" s="69">
        <v>8.3299999999999999E-2</v>
      </c>
      <c r="Y29" s="44">
        <v>4605366</v>
      </c>
      <c r="Z29" s="66">
        <v>45588</v>
      </c>
    </row>
    <row r="30" spans="1:28" ht="18" customHeight="1" x14ac:dyDescent="0.25">
      <c r="A30" s="2" t="s">
        <v>6</v>
      </c>
      <c r="B30" s="1">
        <v>400</v>
      </c>
      <c r="D30" s="2" t="s">
        <v>6</v>
      </c>
      <c r="E30" s="23">
        <v>6637</v>
      </c>
      <c r="G30" s="125">
        <v>24</v>
      </c>
      <c r="I30" s="2" t="s">
        <v>6</v>
      </c>
      <c r="J30" s="1">
        <v>10790</v>
      </c>
      <c r="K30" s="86"/>
      <c r="M30" s="2" t="s">
        <v>12</v>
      </c>
      <c r="N30" s="1">
        <v>232</v>
      </c>
      <c r="O30" s="1">
        <v>48</v>
      </c>
      <c r="P30" s="14">
        <f t="shared" si="3"/>
        <v>280</v>
      </c>
      <c r="R30" s="2" t="s">
        <v>12</v>
      </c>
      <c r="S30" s="1">
        <v>128</v>
      </c>
      <c r="T30" s="1">
        <v>253</v>
      </c>
      <c r="U30" s="1">
        <f t="shared" ref="U30:U37" si="5">SUM(S30:T30)</f>
        <v>381</v>
      </c>
    </row>
    <row r="31" spans="1:28" ht="18" customHeight="1" x14ac:dyDescent="0.25">
      <c r="A31" s="2" t="s">
        <v>7</v>
      </c>
      <c r="B31" s="1">
        <v>43</v>
      </c>
      <c r="D31" s="2" t="s">
        <v>7</v>
      </c>
      <c r="E31" s="23">
        <v>757</v>
      </c>
      <c r="G31" s="126"/>
      <c r="I31" s="2" t="s">
        <v>7</v>
      </c>
      <c r="J31" s="1">
        <v>1244</v>
      </c>
      <c r="K31" s="86"/>
      <c r="M31" s="2" t="s">
        <v>13</v>
      </c>
      <c r="N31" s="1">
        <v>233</v>
      </c>
      <c r="O31" s="1">
        <v>60</v>
      </c>
      <c r="P31" s="14">
        <f t="shared" si="3"/>
        <v>293</v>
      </c>
      <c r="R31" s="2" t="s">
        <v>13</v>
      </c>
      <c r="S31" s="1">
        <v>139</v>
      </c>
      <c r="T31" s="1">
        <v>311</v>
      </c>
      <c r="U31" s="1">
        <f t="shared" si="5"/>
        <v>450</v>
      </c>
    </row>
    <row r="32" spans="1:28" ht="18" customHeight="1" x14ac:dyDescent="0.25">
      <c r="A32" s="2" t="s">
        <v>4</v>
      </c>
      <c r="B32" s="1">
        <f>SUM(B30:B31)</f>
        <v>443</v>
      </c>
      <c r="D32" s="4" t="s">
        <v>4</v>
      </c>
      <c r="E32" s="23">
        <f>SUM(E30:E31)</f>
        <v>7394</v>
      </c>
      <c r="G32" s="127"/>
      <c r="I32" s="4" t="s">
        <v>4</v>
      </c>
      <c r="J32" s="2">
        <f>J30+J31</f>
        <v>12034</v>
      </c>
      <c r="K32" s="19"/>
      <c r="M32" s="2" t="s">
        <v>14</v>
      </c>
      <c r="N32" s="1">
        <v>264</v>
      </c>
      <c r="O32" s="1">
        <v>69</v>
      </c>
      <c r="P32" s="14">
        <f t="shared" si="3"/>
        <v>333</v>
      </c>
      <c r="R32" s="2" t="s">
        <v>14</v>
      </c>
      <c r="S32" s="1">
        <v>118</v>
      </c>
      <c r="T32" s="1">
        <v>287</v>
      </c>
      <c r="U32" s="1">
        <f t="shared" si="5"/>
        <v>405</v>
      </c>
    </row>
    <row r="33" spans="1:21" ht="18" customHeight="1" x14ac:dyDescent="0.25">
      <c r="A33" s="19"/>
      <c r="B33" s="20"/>
      <c r="C33" s="25"/>
      <c r="D33" s="19"/>
      <c r="E33" s="20"/>
      <c r="J33" s="2"/>
      <c r="K33" s="19"/>
      <c r="M33" s="2" t="s">
        <v>15</v>
      </c>
      <c r="N33" s="1">
        <v>305</v>
      </c>
      <c r="O33" s="1">
        <v>36</v>
      </c>
      <c r="P33" s="14">
        <f t="shared" si="3"/>
        <v>341</v>
      </c>
      <c r="R33" s="2" t="s">
        <v>15</v>
      </c>
      <c r="S33" s="1">
        <v>112</v>
      </c>
      <c r="T33" s="1">
        <v>264</v>
      </c>
      <c r="U33" s="1">
        <f t="shared" si="5"/>
        <v>376</v>
      </c>
    </row>
    <row r="34" spans="1:21" ht="18" customHeight="1" x14ac:dyDescent="0.25">
      <c r="A34" s="7" t="s">
        <v>106</v>
      </c>
      <c r="B34" s="7" t="s">
        <v>113</v>
      </c>
      <c r="D34" s="7" t="s">
        <v>106</v>
      </c>
      <c r="E34" s="31" t="s">
        <v>2</v>
      </c>
      <c r="F34" s="6"/>
      <c r="G34" s="7" t="s">
        <v>46</v>
      </c>
      <c r="H34" s="6"/>
      <c r="I34" s="7" t="s">
        <v>106</v>
      </c>
      <c r="J34" s="7" t="s">
        <v>115</v>
      </c>
      <c r="K34" s="85"/>
      <c r="M34" s="2" t="s">
        <v>16</v>
      </c>
      <c r="N34" s="1">
        <v>325</v>
      </c>
      <c r="O34" s="1">
        <v>32</v>
      </c>
      <c r="P34" s="14">
        <f t="shared" si="3"/>
        <v>357</v>
      </c>
      <c r="R34" s="2" t="s">
        <v>16</v>
      </c>
      <c r="S34" s="1">
        <v>118</v>
      </c>
      <c r="T34" s="1">
        <v>261</v>
      </c>
      <c r="U34" s="1">
        <f t="shared" si="5"/>
        <v>379</v>
      </c>
    </row>
    <row r="35" spans="1:21" ht="18" customHeight="1" x14ac:dyDescent="0.25">
      <c r="A35" s="117" t="s">
        <v>13</v>
      </c>
      <c r="B35" s="118"/>
      <c r="D35" s="117" t="s">
        <v>13</v>
      </c>
      <c r="E35" s="118"/>
      <c r="G35" s="7" t="s">
        <v>20</v>
      </c>
      <c r="I35" s="145" t="s">
        <v>13</v>
      </c>
      <c r="J35" s="147"/>
      <c r="K35" s="18"/>
      <c r="M35" s="2" t="s">
        <v>17</v>
      </c>
      <c r="N35" s="1">
        <v>316</v>
      </c>
      <c r="O35" s="1">
        <v>38</v>
      </c>
      <c r="P35" s="14">
        <f t="shared" si="3"/>
        <v>354</v>
      </c>
      <c r="R35" s="2" t="s">
        <v>17</v>
      </c>
      <c r="S35" s="1">
        <v>134</v>
      </c>
      <c r="T35" s="1">
        <v>258</v>
      </c>
      <c r="U35" s="1">
        <f t="shared" si="5"/>
        <v>392</v>
      </c>
    </row>
    <row r="36" spans="1:21" ht="18" customHeight="1" x14ac:dyDescent="0.25">
      <c r="A36" s="2" t="s">
        <v>6</v>
      </c>
      <c r="B36" s="1">
        <v>403</v>
      </c>
      <c r="D36" s="2" t="s">
        <v>6</v>
      </c>
      <c r="E36" s="23">
        <v>7316</v>
      </c>
      <c r="G36" s="125">
        <v>27</v>
      </c>
      <c r="I36" s="2" t="s">
        <v>6</v>
      </c>
      <c r="J36" s="1">
        <v>11273.5</v>
      </c>
      <c r="K36" s="20"/>
      <c r="M36" s="2" t="s">
        <v>18</v>
      </c>
      <c r="N36" s="1">
        <v>310</v>
      </c>
      <c r="O36" s="1">
        <v>56</v>
      </c>
      <c r="P36" s="14">
        <f t="shared" si="3"/>
        <v>366</v>
      </c>
      <c r="R36" s="2" t="s">
        <v>18</v>
      </c>
      <c r="S36" s="1">
        <v>154</v>
      </c>
      <c r="T36" s="1">
        <v>240</v>
      </c>
      <c r="U36" s="1">
        <f t="shared" si="5"/>
        <v>394</v>
      </c>
    </row>
    <row r="37" spans="1:21" ht="18" customHeight="1" x14ac:dyDescent="0.25">
      <c r="A37" s="2" t="s">
        <v>7</v>
      </c>
      <c r="B37" s="1">
        <v>46</v>
      </c>
      <c r="D37" s="2" t="s">
        <v>7</v>
      </c>
      <c r="E37" s="23">
        <v>709</v>
      </c>
      <c r="G37" s="126"/>
      <c r="I37" s="2" t="s">
        <v>7</v>
      </c>
      <c r="J37" s="1">
        <v>1194</v>
      </c>
      <c r="K37" s="20"/>
      <c r="M37" s="2" t="s">
        <v>19</v>
      </c>
      <c r="N37" s="1">
        <v>318</v>
      </c>
      <c r="O37" s="1">
        <v>34</v>
      </c>
      <c r="P37" s="14">
        <f t="shared" si="3"/>
        <v>352</v>
      </c>
      <c r="R37" s="2" t="s">
        <v>19</v>
      </c>
      <c r="S37" s="1">
        <v>133</v>
      </c>
      <c r="T37" s="1">
        <v>161</v>
      </c>
      <c r="U37" s="1">
        <f t="shared" si="5"/>
        <v>294</v>
      </c>
    </row>
    <row r="38" spans="1:21" ht="18" customHeight="1" x14ac:dyDescent="0.25">
      <c r="A38" s="2" t="s">
        <v>4</v>
      </c>
      <c r="B38" s="1">
        <f>SUM(B36:B37)</f>
        <v>449</v>
      </c>
      <c r="D38" s="4" t="s">
        <v>4</v>
      </c>
      <c r="E38" s="23">
        <f>SUM(E36:E37)</f>
        <v>8025</v>
      </c>
      <c r="G38" s="127"/>
      <c r="I38" s="4" t="s">
        <v>4</v>
      </c>
      <c r="J38" s="103">
        <f>J36+J37</f>
        <v>12467.5</v>
      </c>
      <c r="K38" s="17"/>
      <c r="M38" s="2" t="s">
        <v>4</v>
      </c>
      <c r="N38" s="1">
        <f>SUM(N26:N37)</f>
        <v>3274</v>
      </c>
      <c r="O38" s="1">
        <f>SUM(O26:O37)</f>
        <v>519</v>
      </c>
      <c r="P38" s="15">
        <f>SUM(P26:P37)</f>
        <v>3793</v>
      </c>
      <c r="R38" s="2" t="s">
        <v>4</v>
      </c>
      <c r="S38" s="2">
        <f>SUM(S26:S37)</f>
        <v>1457</v>
      </c>
      <c r="T38" s="2">
        <f>SUM(T26:T37)</f>
        <v>2967</v>
      </c>
      <c r="U38" s="2">
        <f>SUM(U26:U37)</f>
        <v>4424</v>
      </c>
    </row>
    <row r="39" spans="1:21" ht="18" customHeight="1" x14ac:dyDescent="0.25">
      <c r="A39" s="19"/>
      <c r="B39" s="20"/>
      <c r="C39" s="25"/>
      <c r="D39" s="19"/>
      <c r="E39" s="20"/>
      <c r="J39" s="2"/>
      <c r="K39" s="17"/>
    </row>
    <row r="40" spans="1:21" ht="18" customHeight="1" x14ac:dyDescent="0.25">
      <c r="A40" s="7" t="s">
        <v>106</v>
      </c>
      <c r="B40" s="7" t="s">
        <v>113</v>
      </c>
      <c r="D40" s="7" t="s">
        <v>106</v>
      </c>
      <c r="E40" s="31" t="s">
        <v>2</v>
      </c>
      <c r="F40" s="6"/>
      <c r="G40" s="7" t="s">
        <v>43</v>
      </c>
      <c r="H40" s="6"/>
      <c r="I40" s="7" t="s">
        <v>106</v>
      </c>
      <c r="J40" s="7" t="s">
        <v>115</v>
      </c>
      <c r="K40" s="85"/>
      <c r="M40" s="168" t="s">
        <v>125</v>
      </c>
      <c r="N40" s="168"/>
      <c r="O40" s="168"/>
      <c r="P40" s="107" t="s">
        <v>126</v>
      </c>
      <c r="R40" s="168" t="s">
        <v>119</v>
      </c>
      <c r="S40" s="168"/>
      <c r="T40" s="168"/>
    </row>
    <row r="41" spans="1:21" ht="18" customHeight="1" x14ac:dyDescent="0.25">
      <c r="A41" s="117" t="s">
        <v>14</v>
      </c>
      <c r="B41" s="118"/>
      <c r="D41" s="117" t="s">
        <v>14</v>
      </c>
      <c r="E41" s="118"/>
      <c r="G41" s="7" t="s">
        <v>20</v>
      </c>
      <c r="I41" s="145" t="s">
        <v>14</v>
      </c>
      <c r="J41" s="147"/>
      <c r="K41" s="85"/>
      <c r="M41" s="168" t="s">
        <v>118</v>
      </c>
      <c r="N41" s="168"/>
      <c r="O41" s="168"/>
      <c r="P41" s="107" t="s">
        <v>127</v>
      </c>
    </row>
    <row r="42" spans="1:21" ht="18" customHeight="1" x14ac:dyDescent="0.25">
      <c r="A42" s="2" t="s">
        <v>6</v>
      </c>
      <c r="B42" s="1">
        <v>397</v>
      </c>
      <c r="D42" s="2" t="s">
        <v>6</v>
      </c>
      <c r="E42" s="23">
        <v>6776</v>
      </c>
      <c r="G42" s="125">
        <v>26</v>
      </c>
      <c r="I42" s="2" t="s">
        <v>6</v>
      </c>
      <c r="J42" s="1">
        <v>10839</v>
      </c>
      <c r="K42" s="86"/>
    </row>
    <row r="43" spans="1:21" ht="18" customHeight="1" x14ac:dyDescent="0.25">
      <c r="A43" s="2" t="s">
        <v>7</v>
      </c>
      <c r="B43" s="1">
        <v>47</v>
      </c>
      <c r="D43" s="2" t="s">
        <v>7</v>
      </c>
      <c r="E43" s="23">
        <v>789</v>
      </c>
      <c r="G43" s="126"/>
      <c r="I43" s="2" t="s">
        <v>7</v>
      </c>
      <c r="J43" s="1">
        <v>1288.5</v>
      </c>
      <c r="K43" s="86"/>
    </row>
    <row r="44" spans="1:21" ht="18" customHeight="1" x14ac:dyDescent="0.25">
      <c r="A44" s="2" t="s">
        <v>4</v>
      </c>
      <c r="B44" s="1">
        <f>SUM(B42:B43)</f>
        <v>444</v>
      </c>
      <c r="D44" s="4" t="s">
        <v>4</v>
      </c>
      <c r="E44" s="23">
        <f>SUM(E42:E43)</f>
        <v>7565</v>
      </c>
      <c r="G44" s="127"/>
      <c r="I44" s="4" t="s">
        <v>4</v>
      </c>
      <c r="J44" s="103">
        <f>J42+J43</f>
        <v>12127.5</v>
      </c>
      <c r="K44" s="19"/>
      <c r="M44" s="116" t="s">
        <v>128</v>
      </c>
      <c r="N44" s="116"/>
      <c r="O44" s="116"/>
      <c r="P44" s="116"/>
      <c r="Q44" s="116"/>
    </row>
    <row r="45" spans="1:21" ht="18" customHeight="1" x14ac:dyDescent="0.25">
      <c r="A45" s="19"/>
      <c r="B45" s="20"/>
      <c r="C45" s="25"/>
      <c r="D45" s="19"/>
      <c r="E45" s="20"/>
      <c r="J45" s="2"/>
      <c r="K45" s="19"/>
    </row>
    <row r="46" spans="1:21" ht="18" customHeight="1" x14ac:dyDescent="0.25">
      <c r="A46" s="7" t="s">
        <v>106</v>
      </c>
      <c r="B46" s="7" t="s">
        <v>113</v>
      </c>
      <c r="D46" s="7" t="s">
        <v>106</v>
      </c>
      <c r="E46" s="31" t="s">
        <v>2</v>
      </c>
      <c r="F46" s="6"/>
      <c r="G46" s="7" t="s">
        <v>15</v>
      </c>
      <c r="H46" s="6"/>
      <c r="I46" s="7" t="s">
        <v>106</v>
      </c>
      <c r="J46" s="7" t="s">
        <v>115</v>
      </c>
      <c r="K46" s="85"/>
    </row>
    <row r="47" spans="1:21" ht="18" customHeight="1" x14ac:dyDescent="0.25">
      <c r="A47" s="117" t="s">
        <v>15</v>
      </c>
      <c r="B47" s="118"/>
      <c r="D47" s="117" t="s">
        <v>15</v>
      </c>
      <c r="E47" s="118"/>
      <c r="G47" s="7" t="s">
        <v>20</v>
      </c>
      <c r="I47" s="148" t="s">
        <v>15</v>
      </c>
      <c r="J47" s="149"/>
      <c r="K47" s="85"/>
      <c r="M47" s="100"/>
      <c r="N47" s="100"/>
      <c r="O47" s="86"/>
      <c r="P47" s="86"/>
      <c r="Q47" s="86"/>
      <c r="R47" s="86"/>
      <c r="S47" s="86"/>
      <c r="T47" s="86"/>
    </row>
    <row r="48" spans="1:21" ht="18" customHeight="1" x14ac:dyDescent="0.25">
      <c r="A48" s="2" t="s">
        <v>6</v>
      </c>
      <c r="B48" s="1">
        <v>414</v>
      </c>
      <c r="D48" s="2" t="s">
        <v>6</v>
      </c>
      <c r="E48" s="23">
        <v>6662</v>
      </c>
      <c r="G48" s="125">
        <v>25</v>
      </c>
      <c r="I48" s="2" t="s">
        <v>6</v>
      </c>
      <c r="J48" s="1">
        <v>11717</v>
      </c>
      <c r="K48" s="86"/>
      <c r="M48" s="98"/>
      <c r="N48" s="99"/>
      <c r="O48" s="86"/>
      <c r="P48" s="86"/>
      <c r="Q48" s="86"/>
      <c r="R48" s="86"/>
      <c r="S48" s="86"/>
      <c r="T48" s="86"/>
    </row>
    <row r="49" spans="1:20" ht="18" customHeight="1" x14ac:dyDescent="0.25">
      <c r="A49" s="2" t="s">
        <v>7</v>
      </c>
      <c r="B49" s="1">
        <v>47</v>
      </c>
      <c r="D49" s="2" t="s">
        <v>7</v>
      </c>
      <c r="E49" s="95">
        <v>858</v>
      </c>
      <c r="G49" s="126"/>
      <c r="I49" s="2" t="s">
        <v>7</v>
      </c>
      <c r="J49" s="1">
        <v>1481</v>
      </c>
      <c r="K49" s="86"/>
      <c r="M49" s="98"/>
      <c r="N49" s="99"/>
      <c r="O49" s="86"/>
      <c r="P49" s="86"/>
      <c r="Q49" s="86"/>
      <c r="R49" s="86"/>
      <c r="S49" s="86"/>
      <c r="T49" s="86"/>
    </row>
    <row r="50" spans="1:20" ht="18" customHeight="1" x14ac:dyDescent="0.25">
      <c r="A50" s="2" t="s">
        <v>4</v>
      </c>
      <c r="B50" s="1">
        <f>SUM(B48:B49)</f>
        <v>461</v>
      </c>
      <c r="D50" s="4" t="s">
        <v>4</v>
      </c>
      <c r="E50" s="23">
        <f>SUM(E48:E49)</f>
        <v>7520</v>
      </c>
      <c r="G50" s="127"/>
      <c r="I50" s="4" t="s">
        <v>4</v>
      </c>
      <c r="J50" s="2">
        <f>J48+J49</f>
        <v>13198</v>
      </c>
      <c r="K50" s="19"/>
      <c r="M50" s="19"/>
      <c r="N50" s="19"/>
      <c r="O50" s="86"/>
      <c r="P50" s="86"/>
      <c r="Q50" s="86"/>
      <c r="R50" s="86"/>
      <c r="S50" s="86"/>
      <c r="T50" s="86"/>
    </row>
    <row r="51" spans="1:20" ht="18" customHeight="1" x14ac:dyDescent="0.25">
      <c r="A51" s="19"/>
      <c r="B51" s="20"/>
      <c r="C51" s="25"/>
      <c r="D51" s="19"/>
      <c r="E51" s="20"/>
      <c r="J51" s="2"/>
      <c r="K51" s="19"/>
      <c r="M51" s="86"/>
      <c r="N51" s="86"/>
      <c r="O51" s="86"/>
      <c r="P51" s="86"/>
      <c r="Q51" s="86"/>
      <c r="R51" s="86"/>
      <c r="S51" s="86"/>
      <c r="T51" s="86"/>
    </row>
    <row r="52" spans="1:20" ht="18" customHeight="1" x14ac:dyDescent="0.25">
      <c r="A52" s="7" t="s">
        <v>106</v>
      </c>
      <c r="B52" s="7" t="s">
        <v>113</v>
      </c>
      <c r="D52" s="7" t="s">
        <v>106</v>
      </c>
      <c r="E52" s="31" t="s">
        <v>2</v>
      </c>
      <c r="F52" s="6"/>
      <c r="G52" s="7" t="s">
        <v>16</v>
      </c>
      <c r="H52" s="6"/>
      <c r="I52" s="7" t="s">
        <v>106</v>
      </c>
      <c r="J52" s="7" t="s">
        <v>115</v>
      </c>
      <c r="K52" s="85"/>
      <c r="M52" s="86"/>
      <c r="N52" s="86"/>
      <c r="O52" s="86"/>
      <c r="P52" s="86"/>
      <c r="Q52" s="86"/>
      <c r="R52" s="86"/>
      <c r="S52" s="86"/>
      <c r="T52" s="86"/>
    </row>
    <row r="53" spans="1:20" ht="18" customHeight="1" x14ac:dyDescent="0.25">
      <c r="A53" s="117" t="s">
        <v>16</v>
      </c>
      <c r="B53" s="118"/>
      <c r="D53" s="117" t="s">
        <v>16</v>
      </c>
      <c r="E53" s="118"/>
      <c r="G53" s="7" t="s">
        <v>20</v>
      </c>
      <c r="I53" s="145" t="s">
        <v>16</v>
      </c>
      <c r="J53" s="147"/>
      <c r="K53" s="85"/>
      <c r="M53" s="101"/>
      <c r="N53" s="101"/>
      <c r="O53" s="86"/>
      <c r="P53" s="86"/>
      <c r="Q53" s="86"/>
      <c r="R53" s="86"/>
      <c r="S53" s="86"/>
      <c r="T53" s="86"/>
    </row>
    <row r="54" spans="1:20" ht="18" customHeight="1" x14ac:dyDescent="0.25">
      <c r="A54" s="2" t="s">
        <v>6</v>
      </c>
      <c r="B54" s="1">
        <v>409</v>
      </c>
      <c r="D54" s="2" t="s">
        <v>6</v>
      </c>
      <c r="E54" s="23">
        <v>7794</v>
      </c>
      <c r="G54" s="125">
        <v>26</v>
      </c>
      <c r="I54" s="2" t="s">
        <v>6</v>
      </c>
      <c r="J54" s="104">
        <v>11520.5</v>
      </c>
      <c r="K54" s="86"/>
      <c r="M54" s="98"/>
      <c r="N54" s="99"/>
      <c r="O54" s="86"/>
      <c r="P54" s="86"/>
      <c r="Q54" s="86"/>
      <c r="R54" s="86"/>
      <c r="S54" s="86"/>
      <c r="T54" s="86"/>
    </row>
    <row r="55" spans="1:20" ht="18" customHeight="1" x14ac:dyDescent="0.25">
      <c r="A55" s="2" t="s">
        <v>7</v>
      </c>
      <c r="B55" s="1">
        <v>46</v>
      </c>
      <c r="D55" s="2" t="s">
        <v>7</v>
      </c>
      <c r="E55" s="23">
        <v>719</v>
      </c>
      <c r="G55" s="126"/>
      <c r="I55" s="2" t="s">
        <v>7</v>
      </c>
      <c r="J55" s="1">
        <v>1525.5</v>
      </c>
      <c r="K55" s="86"/>
      <c r="M55" s="98"/>
      <c r="N55" s="99"/>
      <c r="O55" s="86"/>
      <c r="P55" s="86"/>
      <c r="Q55" s="86"/>
      <c r="R55" s="86"/>
      <c r="S55" s="86"/>
      <c r="T55" s="86"/>
    </row>
    <row r="56" spans="1:20" ht="18" customHeight="1" x14ac:dyDescent="0.25">
      <c r="A56" s="2" t="s">
        <v>4</v>
      </c>
      <c r="B56" s="1">
        <f>SUM(B54:B55)</f>
        <v>455</v>
      </c>
      <c r="D56" s="4" t="s">
        <v>4</v>
      </c>
      <c r="E56" s="23">
        <f>SUM(E54:E55)</f>
        <v>8513</v>
      </c>
      <c r="G56" s="127"/>
      <c r="I56" s="4" t="s">
        <v>4</v>
      </c>
      <c r="J56" s="102">
        <f>J54+J55</f>
        <v>13046</v>
      </c>
      <c r="K56" s="19"/>
      <c r="M56" s="19"/>
      <c r="N56" s="19"/>
      <c r="O56" s="86"/>
      <c r="P56" s="86"/>
      <c r="Q56" s="86"/>
      <c r="R56" s="86"/>
      <c r="S56" s="86"/>
      <c r="T56" s="86"/>
    </row>
    <row r="57" spans="1:20" ht="18" customHeight="1" x14ac:dyDescent="0.25">
      <c r="A57" s="19"/>
      <c r="B57" s="20"/>
      <c r="C57" s="25"/>
      <c r="D57" s="19"/>
      <c r="E57" s="20"/>
      <c r="J57" s="17"/>
      <c r="K57" s="19"/>
      <c r="M57" s="86"/>
      <c r="N57" s="86"/>
      <c r="O57" s="86"/>
      <c r="P57" s="86"/>
      <c r="Q57" s="86"/>
      <c r="R57" s="86"/>
      <c r="S57" s="86"/>
      <c r="T57" s="86"/>
    </row>
    <row r="58" spans="1:20" ht="18" customHeight="1" x14ac:dyDescent="0.25">
      <c r="A58" s="7" t="s">
        <v>106</v>
      </c>
      <c r="B58" s="7" t="s">
        <v>113</v>
      </c>
      <c r="D58" s="7" t="s">
        <v>106</v>
      </c>
      <c r="E58" s="31" t="s">
        <v>2</v>
      </c>
      <c r="F58" s="6"/>
      <c r="G58" s="7" t="s">
        <v>17</v>
      </c>
      <c r="H58" s="6"/>
      <c r="I58" s="7" t="s">
        <v>106</v>
      </c>
      <c r="J58" s="7" t="s">
        <v>115</v>
      </c>
      <c r="K58" s="85"/>
      <c r="Q58" s="86"/>
      <c r="R58" s="86"/>
      <c r="S58" s="86"/>
      <c r="T58" s="86"/>
    </row>
    <row r="59" spans="1:20" ht="18" customHeight="1" x14ac:dyDescent="0.25">
      <c r="A59" s="117" t="s">
        <v>17</v>
      </c>
      <c r="B59" s="118"/>
      <c r="D59" s="117" t="s">
        <v>17</v>
      </c>
      <c r="E59" s="118"/>
      <c r="G59" s="7" t="s">
        <v>20</v>
      </c>
      <c r="I59" s="145" t="s">
        <v>17</v>
      </c>
      <c r="J59" s="147"/>
      <c r="K59" s="85"/>
      <c r="Q59" s="86"/>
      <c r="R59" s="86"/>
      <c r="S59" s="86"/>
      <c r="T59" s="86"/>
    </row>
    <row r="60" spans="1:20" ht="18" customHeight="1" x14ac:dyDescent="0.25">
      <c r="A60" s="2" t="s">
        <v>6</v>
      </c>
      <c r="B60" s="1">
        <v>399</v>
      </c>
      <c r="D60" s="2" t="s">
        <v>6</v>
      </c>
      <c r="E60" s="80">
        <v>6436</v>
      </c>
      <c r="G60" s="125">
        <v>22</v>
      </c>
      <c r="I60" s="2" t="s">
        <v>6</v>
      </c>
      <c r="J60" s="1">
        <v>10979.5</v>
      </c>
      <c r="K60" s="20"/>
      <c r="Q60" s="97"/>
      <c r="R60" s="97"/>
      <c r="S60" s="86"/>
      <c r="T60" s="86"/>
    </row>
    <row r="61" spans="1:20" ht="18" customHeight="1" x14ac:dyDescent="0.25">
      <c r="A61" s="2" t="s">
        <v>7</v>
      </c>
      <c r="B61" s="1">
        <v>52</v>
      </c>
      <c r="D61" s="2" t="s">
        <v>7</v>
      </c>
      <c r="E61" s="23">
        <v>680</v>
      </c>
      <c r="G61" s="126"/>
      <c r="I61" s="2" t="s">
        <v>7</v>
      </c>
      <c r="J61" s="1">
        <v>1402</v>
      </c>
      <c r="K61" s="20"/>
      <c r="Q61" s="86"/>
      <c r="R61" s="86"/>
      <c r="S61" s="86"/>
      <c r="T61" s="86"/>
    </row>
    <row r="62" spans="1:20" ht="18" customHeight="1" x14ac:dyDescent="0.25">
      <c r="A62" s="2" t="s">
        <v>4</v>
      </c>
      <c r="B62" s="1">
        <f>SUM(B60:B61)</f>
        <v>451</v>
      </c>
      <c r="D62" s="4" t="s">
        <v>4</v>
      </c>
      <c r="E62" s="23">
        <f>SUM(E60:E61)</f>
        <v>7116</v>
      </c>
      <c r="G62" s="127"/>
      <c r="I62" s="4" t="s">
        <v>4</v>
      </c>
      <c r="J62" s="103">
        <f>SUM(J60:J61)</f>
        <v>12381.5</v>
      </c>
      <c r="K62" s="17"/>
      <c r="Q62" s="86"/>
      <c r="R62" s="86"/>
      <c r="S62" s="86"/>
      <c r="T62" s="86"/>
    </row>
    <row r="63" spans="1:20" ht="18" customHeight="1" x14ac:dyDescent="0.25">
      <c r="A63" s="17"/>
      <c r="B63" s="20"/>
      <c r="D63" s="17"/>
      <c r="E63" s="20"/>
      <c r="G63" s="18"/>
      <c r="I63" s="17"/>
      <c r="J63" s="17"/>
      <c r="K63" s="17"/>
    </row>
    <row r="64" spans="1:20" ht="18" customHeight="1" x14ac:dyDescent="0.25">
      <c r="A64" s="7" t="s">
        <v>106</v>
      </c>
      <c r="B64" s="7" t="s">
        <v>113</v>
      </c>
      <c r="D64" s="7" t="s">
        <v>106</v>
      </c>
      <c r="E64" s="56" t="s">
        <v>2</v>
      </c>
      <c r="F64" s="6"/>
      <c r="G64" s="7" t="s">
        <v>18</v>
      </c>
      <c r="H64" s="6"/>
      <c r="I64" s="7" t="s">
        <v>106</v>
      </c>
      <c r="J64" s="7" t="s">
        <v>115</v>
      </c>
      <c r="K64" s="85"/>
    </row>
    <row r="65" spans="1:11" ht="18" customHeight="1" x14ac:dyDescent="0.25">
      <c r="A65" s="117" t="s">
        <v>18</v>
      </c>
      <c r="B65" s="118"/>
      <c r="D65" s="117" t="s">
        <v>18</v>
      </c>
      <c r="E65" s="118"/>
      <c r="G65" s="7" t="s">
        <v>20</v>
      </c>
      <c r="I65" s="145" t="s">
        <v>18</v>
      </c>
      <c r="J65" s="147"/>
      <c r="K65" s="85"/>
    </row>
    <row r="66" spans="1:11" ht="18" customHeight="1" x14ac:dyDescent="0.25">
      <c r="A66" s="2" t="s">
        <v>6</v>
      </c>
      <c r="B66" s="1">
        <v>395</v>
      </c>
      <c r="D66" s="2" t="s">
        <v>6</v>
      </c>
      <c r="E66" s="23">
        <v>9662</v>
      </c>
      <c r="G66" s="125">
        <v>26</v>
      </c>
      <c r="I66" s="2" t="s">
        <v>6</v>
      </c>
      <c r="J66" s="1">
        <v>11306</v>
      </c>
      <c r="K66" s="86"/>
    </row>
    <row r="67" spans="1:11" ht="18" customHeight="1" x14ac:dyDescent="0.25">
      <c r="A67" s="2" t="s">
        <v>7</v>
      </c>
      <c r="B67" s="1">
        <v>49</v>
      </c>
      <c r="D67" s="2" t="s">
        <v>7</v>
      </c>
      <c r="E67" s="23">
        <v>1039</v>
      </c>
      <c r="G67" s="126"/>
      <c r="I67" s="2" t="s">
        <v>7</v>
      </c>
      <c r="J67" s="1">
        <v>1357.5</v>
      </c>
      <c r="K67" s="86"/>
    </row>
    <row r="68" spans="1:11" ht="18" customHeight="1" x14ac:dyDescent="0.25">
      <c r="A68" s="2" t="s">
        <v>4</v>
      </c>
      <c r="B68" s="1">
        <f>SUM(B66:B67)</f>
        <v>444</v>
      </c>
      <c r="D68" s="4" t="s">
        <v>4</v>
      </c>
      <c r="E68" s="23">
        <f>SUM(E66:E67)</f>
        <v>10701</v>
      </c>
      <c r="G68" s="127"/>
      <c r="I68" s="4" t="s">
        <v>4</v>
      </c>
      <c r="J68" s="105">
        <f>SUM(J66:J67)</f>
        <v>12663.5</v>
      </c>
      <c r="K68" s="87"/>
    </row>
    <row r="69" spans="1:11" ht="18" customHeight="1" x14ac:dyDescent="0.25">
      <c r="A69" s="17"/>
      <c r="B69" s="20"/>
      <c r="D69" s="17"/>
      <c r="E69" s="20"/>
      <c r="G69" s="18"/>
      <c r="I69" s="17"/>
      <c r="J69" s="17"/>
      <c r="K69" s="19"/>
    </row>
    <row r="70" spans="1:11" ht="18" customHeight="1" x14ac:dyDescent="0.25">
      <c r="A70" s="7" t="s">
        <v>106</v>
      </c>
      <c r="B70" s="7" t="s">
        <v>113</v>
      </c>
      <c r="D70" s="7" t="s">
        <v>106</v>
      </c>
      <c r="E70" s="31" t="s">
        <v>2</v>
      </c>
      <c r="F70" s="6"/>
      <c r="G70" s="7" t="s">
        <v>19</v>
      </c>
      <c r="H70" s="6"/>
      <c r="I70" s="7" t="s">
        <v>106</v>
      </c>
      <c r="J70" s="7" t="s">
        <v>115</v>
      </c>
      <c r="K70" s="85"/>
    </row>
    <row r="71" spans="1:11" ht="18" customHeight="1" x14ac:dyDescent="0.25">
      <c r="A71" s="163" t="s">
        <v>19</v>
      </c>
      <c r="B71" s="164"/>
      <c r="D71" s="117" t="s">
        <v>19</v>
      </c>
      <c r="E71" s="118"/>
      <c r="G71" s="7" t="s">
        <v>20</v>
      </c>
      <c r="I71" s="145" t="s">
        <v>19</v>
      </c>
      <c r="J71" s="147"/>
      <c r="K71" s="85"/>
    </row>
    <row r="72" spans="1:11" ht="18" customHeight="1" x14ac:dyDescent="0.25">
      <c r="A72" s="45" t="s">
        <v>6</v>
      </c>
      <c r="B72" s="32">
        <v>405</v>
      </c>
      <c r="D72" s="2" t="s">
        <v>6</v>
      </c>
      <c r="E72" s="23">
        <v>7838</v>
      </c>
      <c r="G72" s="125">
        <v>26</v>
      </c>
      <c r="I72" s="2" t="s">
        <v>6</v>
      </c>
      <c r="J72" s="104">
        <v>11238.5</v>
      </c>
      <c r="K72" s="20"/>
    </row>
    <row r="73" spans="1:11" ht="18" customHeight="1" x14ac:dyDescent="0.25">
      <c r="A73" s="45" t="s">
        <v>7</v>
      </c>
      <c r="B73" s="32">
        <v>48</v>
      </c>
      <c r="D73" s="2" t="s">
        <v>7</v>
      </c>
      <c r="E73" s="23">
        <v>596</v>
      </c>
      <c r="G73" s="126"/>
      <c r="I73" s="2" t="s">
        <v>7</v>
      </c>
      <c r="J73" s="1">
        <v>1353.5</v>
      </c>
      <c r="K73" s="20"/>
    </row>
    <row r="74" spans="1:11" ht="18" customHeight="1" x14ac:dyDescent="0.25">
      <c r="A74" s="45" t="s">
        <v>4</v>
      </c>
      <c r="B74" s="32">
        <f>SUM(B72:B73)</f>
        <v>453</v>
      </c>
      <c r="D74" s="4" t="s">
        <v>4</v>
      </c>
      <c r="E74" s="23">
        <f>SUM(E72:E73)</f>
        <v>8434</v>
      </c>
      <c r="G74" s="127"/>
      <c r="I74" s="4" t="s">
        <v>4</v>
      </c>
      <c r="J74" s="2">
        <f>SUM(J72:J73)</f>
        <v>12592</v>
      </c>
      <c r="K74" s="17"/>
    </row>
    <row r="75" spans="1:11" ht="18" customHeight="1" x14ac:dyDescent="0.25"/>
    <row r="76" spans="1:11" ht="18" customHeight="1" x14ac:dyDescent="0.25"/>
    <row r="77" spans="1:11" ht="30" customHeight="1" x14ac:dyDescent="0.25">
      <c r="D77" s="161" t="s">
        <v>120</v>
      </c>
      <c r="E77" s="161"/>
      <c r="F77" s="161"/>
      <c r="G77" s="72">
        <f>+G5+G12+G18+G24+G30+G36+G42+G48+G54+G60+G66+G72</f>
        <v>300</v>
      </c>
    </row>
  </sheetData>
  <mergeCells count="72">
    <mergeCell ref="U3:W3"/>
    <mergeCell ref="A17:B17"/>
    <mergeCell ref="D77:F77"/>
    <mergeCell ref="D3:E3"/>
    <mergeCell ref="I71:J71"/>
    <mergeCell ref="L6:S6"/>
    <mergeCell ref="M40:O40"/>
    <mergeCell ref="R40:T40"/>
    <mergeCell ref="G12:G14"/>
    <mergeCell ref="G18:G20"/>
    <mergeCell ref="G24:G26"/>
    <mergeCell ref="G30:G32"/>
    <mergeCell ref="G42:G44"/>
    <mergeCell ref="G36:G38"/>
    <mergeCell ref="G48:G50"/>
    <mergeCell ref="A3:B3"/>
    <mergeCell ref="I3:J3"/>
    <mergeCell ref="G5:G7"/>
    <mergeCell ref="I11:J11"/>
    <mergeCell ref="A23:B23"/>
    <mergeCell ref="D23:E23"/>
    <mergeCell ref="D17:E17"/>
    <mergeCell ref="I5:J5"/>
    <mergeCell ref="A5:B5"/>
    <mergeCell ref="D5:E5"/>
    <mergeCell ref="A11:B11"/>
    <mergeCell ref="D11:E11"/>
    <mergeCell ref="A41:B41"/>
    <mergeCell ref="D41:E41"/>
    <mergeCell ref="I35:J35"/>
    <mergeCell ref="D35:E35"/>
    <mergeCell ref="D65:E65"/>
    <mergeCell ref="A65:B65"/>
    <mergeCell ref="G60:G62"/>
    <mergeCell ref="I41:J41"/>
    <mergeCell ref="I47:J47"/>
    <mergeCell ref="G54:G56"/>
    <mergeCell ref="I53:J53"/>
    <mergeCell ref="M41:O41"/>
    <mergeCell ref="L20:L22"/>
    <mergeCell ref="I59:J59"/>
    <mergeCell ref="G66:G68"/>
    <mergeCell ref="G72:G74"/>
    <mergeCell ref="I65:J65"/>
    <mergeCell ref="Q21:R21"/>
    <mergeCell ref="I29:J29"/>
    <mergeCell ref="R24:U24"/>
    <mergeCell ref="M24:P24"/>
    <mergeCell ref="U17:V17"/>
    <mergeCell ref="I17:J17"/>
    <mergeCell ref="X4:AA4"/>
    <mergeCell ref="A71:B71"/>
    <mergeCell ref="D71:E71"/>
    <mergeCell ref="A47:B47"/>
    <mergeCell ref="D47:E47"/>
    <mergeCell ref="A53:B53"/>
    <mergeCell ref="D53:E53"/>
    <mergeCell ref="D59:E59"/>
    <mergeCell ref="A59:B59"/>
    <mergeCell ref="S20:S21"/>
    <mergeCell ref="A29:B29"/>
    <mergeCell ref="D29:E29"/>
    <mergeCell ref="A35:B35"/>
    <mergeCell ref="M44:Q44"/>
    <mergeCell ref="O21:P21"/>
    <mergeCell ref="I23:J23"/>
    <mergeCell ref="W26:Z26"/>
    <mergeCell ref="X12:Y12"/>
    <mergeCell ref="Z27:Z28"/>
    <mergeCell ref="Y27:Y28"/>
    <mergeCell ref="W27:W28"/>
    <mergeCell ref="X27:X28"/>
  </mergeCells>
  <pageMargins left="0.7" right="0.7" top="0.75" bottom="0.75" header="0.3" footer="0.3"/>
  <pageSetup paperSize="8" orientation="landscape" r:id="rId1"/>
  <ignoredErrors>
    <ignoredError sqref="W13 N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Praveen</vt:lpstr>
      <vt:lpstr>Vikki Annual Return Work Sh (2</vt:lpstr>
      <vt:lpstr>Salary,Bonus,EL</vt:lpstr>
      <vt:lpstr>Annual Return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2026-04-18T13:03:34Z</dcterms:modified>
</cp:coreProperties>
</file>