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Asohan" sheetId="1" r:id="rId1"/>
  </sheets>
  <calcPr calcId="162913"/>
</workbook>
</file>

<file path=xl/calcChain.xml><?xml version="1.0" encoding="utf-8"?>
<calcChain xmlns="http://schemas.openxmlformats.org/spreadsheetml/2006/main">
  <c r="L5" i="1" l="1"/>
  <c r="L6" i="1" l="1"/>
  <c r="J5" i="1"/>
</calcChain>
</file>

<file path=xl/sharedStrings.xml><?xml version="1.0" encoding="utf-8"?>
<sst xmlns="http://schemas.openxmlformats.org/spreadsheetml/2006/main" count="20" uniqueCount="20">
  <si>
    <t>Name</t>
  </si>
  <si>
    <t>Emp.Code</t>
  </si>
  <si>
    <t>Department</t>
  </si>
  <si>
    <t>D.O.J</t>
  </si>
  <si>
    <t>D.O.L</t>
  </si>
  <si>
    <t>Production</t>
  </si>
  <si>
    <t>Designation</t>
  </si>
  <si>
    <t>Last Drawn 
Basic Salary/Month</t>
  </si>
  <si>
    <t xml:space="preserve">Kotak Bank
 Account Number </t>
  </si>
  <si>
    <t>D.O.B</t>
  </si>
  <si>
    <t>S.No</t>
  </si>
  <si>
    <t>ASOHAN K</t>
  </si>
  <si>
    <t>Sr.Engineer</t>
  </si>
  <si>
    <t xml:space="preserve">KUN Aerospace Pvt. Ltd. </t>
  </si>
  <si>
    <t>Plot No : 22 &amp; 23 , Ambattur Industrial Estate, Chennai - 600 058.</t>
  </si>
  <si>
    <t>Gratuity Amount Payable Workings</t>
  </si>
  <si>
    <t>No. of Years 
Service rendered</t>
  </si>
  <si>
    <t>No. of Years 
for calculation</t>
  </si>
  <si>
    <t>Amount 
Payable Rs.</t>
  </si>
  <si>
    <t>TOTAL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</si>
</sst>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_(* #,##0.00_);_(* \(#,##0.00\);_(* &quot;-&quot;??_);_(@_)"/>
    <numFmt numFmtId="165" formatCode="[$-809]dd\ mmmm\ yyyy;@"/>
    <numFmt numFmtId="167" formatCode="0000"/>
    <numFmt numFmtId="168" formatCode="dd\/mm\/yyyy"/>
    <numFmt numFmtId="169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/>
    <xf numFmtId="0" fontId="0" fillId="0" borderId="0" xfId="0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9" fontId="0" fillId="0" borderId="2" xfId="2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68" fontId="0" fillId="0" borderId="1" xfId="0" applyNumberFormat="1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65" fontId="0" fillId="0" borderId="2" xfId="0" applyNumberFormat="1" applyFont="1" applyFill="1" applyBorder="1" applyAlignment="1">
      <alignment horizontal="center" vertical="center"/>
    </xf>
    <xf numFmtId="165" fontId="0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1" fontId="4" fillId="0" borderId="10" xfId="0" quotePrefix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Fill="1" applyBorder="1"/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/>
    </xf>
    <xf numFmtId="169" fontId="1" fillId="0" borderId="12" xfId="2" applyNumberFormat="1" applyFont="1" applyBorder="1" applyAlignment="1">
      <alignment horizontal="center" vertical="center"/>
    </xf>
  </cellXfs>
  <cellStyles count="3">
    <cellStyle name="Comma" xfId="2" builtinId="3"/>
    <cellStyle name="Comma 2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tabSelected="1" workbookViewId="0">
      <selection activeCell="J9" sqref="J9"/>
    </sheetView>
  </sheetViews>
  <sheetFormatPr defaultRowHeight="15" x14ac:dyDescent="0.25"/>
  <cols>
    <col min="1" max="1" width="5.140625" style="1" bestFit="1" customWidth="1"/>
    <col min="2" max="2" width="18.28515625" bestFit="1" customWidth="1"/>
    <col min="3" max="3" width="10" bestFit="1" customWidth="1"/>
    <col min="4" max="4" width="11.7109375" bestFit="1" customWidth="1"/>
    <col min="5" max="5" width="11.5703125" bestFit="1" customWidth="1"/>
    <col min="6" max="6" width="10.7109375" bestFit="1" customWidth="1"/>
    <col min="7" max="7" width="13.28515625" style="1" bestFit="1" customWidth="1"/>
    <col min="8" max="8" width="11.5703125" style="3" bestFit="1" customWidth="1"/>
    <col min="9" max="9" width="14.7109375" style="4" bestFit="1" customWidth="1"/>
    <col min="10" max="10" width="22.28515625" customWidth="1"/>
    <col min="11" max="11" width="13.7109375" bestFit="1" customWidth="1"/>
    <col min="12" max="12" width="11.5703125" style="1" bestFit="1" customWidth="1"/>
    <col min="13" max="13" width="18.42578125" bestFit="1" customWidth="1"/>
  </cols>
  <sheetData>
    <row r="1" spans="1:13" ht="18" thickBot="1" x14ac:dyDescent="0.35">
      <c r="A1" s="29" t="s">
        <v>13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</row>
    <row r="2" spans="1:13" ht="18" thickBot="1" x14ac:dyDescent="0.35">
      <c r="A2" s="29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3" ht="18" thickBot="1" x14ac:dyDescent="0.35">
      <c r="A3" s="32" t="s">
        <v>15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13" s="10" customFormat="1" ht="45.75" thickBot="1" x14ac:dyDescent="0.3">
      <c r="A4" s="5" t="s">
        <v>10</v>
      </c>
      <c r="B4" s="7" t="s">
        <v>0</v>
      </c>
      <c r="C4" s="7" t="s">
        <v>1</v>
      </c>
      <c r="D4" s="7" t="s">
        <v>2</v>
      </c>
      <c r="E4" s="7" t="s">
        <v>6</v>
      </c>
      <c r="F4" s="7" t="s">
        <v>9</v>
      </c>
      <c r="G4" s="35" t="s">
        <v>7</v>
      </c>
      <c r="H4" s="8" t="s">
        <v>3</v>
      </c>
      <c r="I4" s="7" t="s">
        <v>4</v>
      </c>
      <c r="J4" s="6" t="s">
        <v>16</v>
      </c>
      <c r="K4" s="6" t="s">
        <v>17</v>
      </c>
      <c r="L4" s="6" t="s">
        <v>18</v>
      </c>
      <c r="M4" s="9" t="s">
        <v>8</v>
      </c>
    </row>
    <row r="5" spans="1:13" ht="37.5" customHeight="1" x14ac:dyDescent="0.25">
      <c r="A5" s="21">
        <v>1</v>
      </c>
      <c r="B5" s="12" t="s">
        <v>11</v>
      </c>
      <c r="C5" s="13">
        <v>37</v>
      </c>
      <c r="D5" s="14" t="s">
        <v>5</v>
      </c>
      <c r="E5" s="15" t="s">
        <v>12</v>
      </c>
      <c r="F5" s="16">
        <v>32299</v>
      </c>
      <c r="G5" s="17">
        <v>24833.599999999999</v>
      </c>
      <c r="H5" s="18">
        <v>41031</v>
      </c>
      <c r="I5" s="19">
        <v>46053</v>
      </c>
      <c r="J5" s="20" t="str">
        <f>DATEDIF(H5,I5,"y")&amp;"years,"&amp;DATEDIF(H5,I5,"ym")&amp;"months,"&amp;DATEDIF(H5,I5,"md")&amp;"days"</f>
        <v>13years,8months,29days</v>
      </c>
      <c r="K5" s="20">
        <v>14</v>
      </c>
      <c r="L5" s="11">
        <f>G5/26*15*K5</f>
        <v>200579.07692307691</v>
      </c>
      <c r="M5" s="22">
        <v>409010083381</v>
      </c>
    </row>
    <row r="6" spans="1:13" s="2" customFormat="1" ht="41.25" customHeight="1" thickBot="1" x14ac:dyDescent="0.3">
      <c r="A6" s="23"/>
      <c r="B6" s="36" t="s">
        <v>19</v>
      </c>
      <c r="C6" s="25"/>
      <c r="D6" s="25"/>
      <c r="E6" s="25"/>
      <c r="F6" s="25"/>
      <c r="G6" s="26"/>
      <c r="H6" s="24"/>
      <c r="I6" s="27"/>
      <c r="J6" s="25"/>
      <c r="K6" s="25"/>
      <c r="L6" s="37">
        <f>SUM(L5:L5)</f>
        <v>200579.07692307691</v>
      </c>
      <c r="M6" s="28"/>
    </row>
  </sheetData>
  <mergeCells count="3">
    <mergeCell ref="A1:M1"/>
    <mergeCell ref="A2:M2"/>
    <mergeCell ref="A3:M3"/>
  </mergeCells>
  <printOptions horizontalCentered="1"/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2026-04-18T09:21:13Z</dcterms:modified>
</cp:coreProperties>
</file>