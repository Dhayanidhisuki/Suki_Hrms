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Muthu sir\21.04.2026\Full &amp; Final Settlement\"/>
    </mc:Choice>
  </mc:AlternateContent>
  <bookViews>
    <workbookView xWindow="0" yWindow="0" windowWidth="20490" windowHeight="7620"/>
  </bookViews>
  <sheets>
    <sheet name="Asohan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2" l="1"/>
  <c r="G23" i="12" s="1"/>
</calcChain>
</file>

<file path=xl/sharedStrings.xml><?xml version="1.0" encoding="utf-8"?>
<sst xmlns="http://schemas.openxmlformats.org/spreadsheetml/2006/main" count="30" uniqueCount="30">
  <si>
    <t>Employee Code</t>
  </si>
  <si>
    <t>Designation</t>
  </si>
  <si>
    <t>Production</t>
  </si>
  <si>
    <t>Asohan K</t>
  </si>
  <si>
    <t>Sr.Engineer</t>
  </si>
  <si>
    <t>Employee Name</t>
  </si>
  <si>
    <t>Department</t>
  </si>
  <si>
    <t>Earned Basic</t>
  </si>
  <si>
    <t>Apr'25</t>
  </si>
  <si>
    <t>May'25</t>
  </si>
  <si>
    <t>June'25</t>
  </si>
  <si>
    <t>July'25</t>
  </si>
  <si>
    <t>Aug'25</t>
  </si>
  <si>
    <t>Sep'25</t>
  </si>
  <si>
    <t>Oct'25</t>
  </si>
  <si>
    <t>Nov'25</t>
  </si>
  <si>
    <t>Dec'25</t>
  </si>
  <si>
    <t>Jan'26</t>
  </si>
  <si>
    <t>Total</t>
  </si>
  <si>
    <t>Plot No: 22 &amp; 23, AIE, Chennai-600058.</t>
  </si>
  <si>
    <t>KUN Aerospace Private Limited.</t>
  </si>
  <si>
    <t>Month / Year</t>
  </si>
  <si>
    <t>Bonus 8.33%</t>
  </si>
  <si>
    <t>Bonus Working Summary _ FY: 2025-2026</t>
  </si>
  <si>
    <t>Date of Joining</t>
  </si>
  <si>
    <t>Date of Leaving</t>
  </si>
  <si>
    <t>Theoritical Basic</t>
  </si>
  <si>
    <t>Pay Days</t>
  </si>
  <si>
    <t>Present Days</t>
  </si>
  <si>
    <t>Absent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</si>
</sst>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##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3" fillId="0" borderId="9" xfId="0" applyFont="1" applyBorder="1"/>
    <xf numFmtId="0" fontId="3" fillId="0" borderId="10" xfId="0" applyFont="1" applyBorder="1" applyAlignment="1"/>
    <xf numFmtId="165" fontId="3" fillId="0" borderId="4" xfId="0" applyNumberFormat="1" applyFont="1" applyBorder="1"/>
    <xf numFmtId="165" fontId="4" fillId="0" borderId="2" xfId="0" applyNumberFormat="1" applyFont="1" applyBorder="1"/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14" fontId="4" fillId="0" borderId="20" xfId="0" applyNumberFormat="1" applyFont="1" applyBorder="1" applyAlignment="1">
      <alignment horizontal="left" vertical="center"/>
    </xf>
    <xf numFmtId="0" fontId="3" fillId="0" borderId="23" xfId="0" applyFont="1" applyBorder="1"/>
    <xf numFmtId="0" fontId="3" fillId="0" borderId="24" xfId="0" applyFont="1" applyBorder="1"/>
    <xf numFmtId="0" fontId="4" fillId="0" borderId="25" xfId="0" applyFont="1" applyBorder="1" applyAlignment="1">
      <alignment horizontal="center" vertical="center"/>
    </xf>
    <xf numFmtId="165" fontId="4" fillId="0" borderId="26" xfId="0" applyNumberFormat="1" applyFont="1" applyBorder="1"/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65" fontId="4" fillId="0" borderId="28" xfId="0" applyNumberFormat="1" applyFont="1" applyBorder="1"/>
    <xf numFmtId="0" fontId="4" fillId="0" borderId="1" xfId="0" applyFont="1" applyBorder="1" applyAlignment="1">
      <alignment horizontal="center" vertical="center"/>
    </xf>
    <xf numFmtId="165" fontId="4" fillId="0" borderId="29" xfId="0" applyNumberFormat="1" applyFont="1" applyBorder="1"/>
    <xf numFmtId="0" fontId="4" fillId="0" borderId="2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4" fillId="0" borderId="30" xfId="4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0" fontId="3" fillId="0" borderId="14" xfId="0" applyNumberFormat="1" applyFont="1" applyBorder="1" applyAlignment="1">
      <alignment horizontal="center" vertical="center"/>
    </xf>
    <xf numFmtId="10" fontId="3" fillId="0" borderId="24" xfId="0" applyNumberFormat="1" applyFont="1" applyBorder="1" applyAlignment="1">
      <alignment horizontal="center" vertical="center"/>
    </xf>
    <xf numFmtId="10" fontId="3" fillId="0" borderId="31" xfId="0" applyNumberFormat="1" applyFont="1" applyBorder="1" applyAlignment="1">
      <alignment horizontal="center" vertical="center"/>
    </xf>
    <xf numFmtId="43" fontId="3" fillId="0" borderId="31" xfId="4" applyFont="1" applyBorder="1"/>
  </cellXfs>
  <cellStyles count="5">
    <cellStyle name="Comma" xfId="4" builtinId="3"/>
    <cellStyle name="Comma 2" xfId="1"/>
    <cellStyle name="Comma 2 2" xfId="3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3"/>
  <sheetViews>
    <sheetView tabSelected="1" topLeftCell="A4" workbookViewId="0">
      <selection activeCell="K11" sqref="K11"/>
    </sheetView>
  </sheetViews>
  <sheetFormatPr defaultColWidth="12.42578125" defaultRowHeight="15.75" x14ac:dyDescent="0.25"/>
  <cols>
    <col min="1" max="1" width="4.5703125" style="1" bestFit="1" customWidth="1"/>
    <col min="2" max="2" width="14.85546875" style="1" bestFit="1" customWidth="1"/>
    <col min="3" max="3" width="18.5703125" style="1" bestFit="1" customWidth="1"/>
    <col min="4" max="4" width="10.7109375" style="1" bestFit="1" customWidth="1"/>
    <col min="5" max="5" width="14.7109375" style="1" bestFit="1" customWidth="1"/>
    <col min="6" max="6" width="14.42578125" style="1" bestFit="1" customWidth="1"/>
    <col min="7" max="7" width="14.5703125" style="1" bestFit="1" customWidth="1"/>
    <col min="8" max="16384" width="12.42578125" style="1"/>
  </cols>
  <sheetData>
    <row r="1" spans="2:7" ht="16.5" x14ac:dyDescent="0.25">
      <c r="B1" s="6" t="s">
        <v>20</v>
      </c>
      <c r="C1" s="7"/>
      <c r="D1" s="7"/>
      <c r="E1" s="7"/>
      <c r="F1" s="7"/>
      <c r="G1" s="8"/>
    </row>
    <row r="2" spans="2:7" ht="16.5" x14ac:dyDescent="0.25">
      <c r="B2" s="9" t="s">
        <v>19</v>
      </c>
      <c r="C2" s="10"/>
      <c r="D2" s="10"/>
      <c r="E2" s="10"/>
      <c r="F2" s="10"/>
      <c r="G2" s="11"/>
    </row>
    <row r="3" spans="2:7" ht="17.25" thickBot="1" x14ac:dyDescent="0.3">
      <c r="B3" s="12" t="s">
        <v>23</v>
      </c>
      <c r="C3" s="13"/>
      <c r="D3" s="13"/>
      <c r="E3" s="13"/>
      <c r="F3" s="13"/>
      <c r="G3" s="14"/>
    </row>
    <row r="4" spans="2:7" x14ac:dyDescent="0.25">
      <c r="B4" s="15" t="s">
        <v>5</v>
      </c>
      <c r="C4" s="16"/>
      <c r="D4" s="17"/>
      <c r="E4" s="15" t="s">
        <v>3</v>
      </c>
      <c r="F4" s="16"/>
      <c r="G4" s="17"/>
    </row>
    <row r="5" spans="2:7" x14ac:dyDescent="0.25">
      <c r="B5" s="18" t="s">
        <v>0</v>
      </c>
      <c r="C5" s="19"/>
      <c r="D5" s="20"/>
      <c r="E5" s="18">
        <v>37</v>
      </c>
      <c r="F5" s="19"/>
      <c r="G5" s="20"/>
    </row>
    <row r="6" spans="2:7" x14ac:dyDescent="0.25">
      <c r="B6" s="18" t="s">
        <v>6</v>
      </c>
      <c r="C6" s="19"/>
      <c r="D6" s="20"/>
      <c r="E6" s="18" t="s">
        <v>2</v>
      </c>
      <c r="F6" s="19"/>
      <c r="G6" s="20"/>
    </row>
    <row r="7" spans="2:7" x14ac:dyDescent="0.25">
      <c r="B7" s="18" t="s">
        <v>1</v>
      </c>
      <c r="C7" s="19"/>
      <c r="D7" s="20"/>
      <c r="E7" s="18" t="s">
        <v>4</v>
      </c>
      <c r="F7" s="19"/>
      <c r="G7" s="20"/>
    </row>
    <row r="8" spans="2:7" x14ac:dyDescent="0.25">
      <c r="B8" s="18" t="s">
        <v>24</v>
      </c>
      <c r="C8" s="19"/>
      <c r="D8" s="20"/>
      <c r="E8" s="21">
        <v>41031</v>
      </c>
      <c r="F8" s="22"/>
      <c r="G8" s="23"/>
    </row>
    <row r="9" spans="2:7" ht="16.5" thickBot="1" x14ac:dyDescent="0.3">
      <c r="B9" s="24" t="s">
        <v>25</v>
      </c>
      <c r="C9" s="25"/>
      <c r="D9" s="26"/>
      <c r="E9" s="27">
        <v>46053</v>
      </c>
      <c r="F9" s="25"/>
      <c r="G9" s="26"/>
    </row>
    <row r="10" spans="2:7" ht="17.25" thickBot="1" x14ac:dyDescent="0.35">
      <c r="B10" s="2" t="s">
        <v>21</v>
      </c>
      <c r="C10" s="28" t="s">
        <v>26</v>
      </c>
      <c r="D10" s="28" t="s">
        <v>27</v>
      </c>
      <c r="E10" s="28" t="s">
        <v>28</v>
      </c>
      <c r="F10" s="29" t="s">
        <v>29</v>
      </c>
      <c r="G10" s="3" t="s">
        <v>7</v>
      </c>
    </row>
    <row r="11" spans="2:7" x14ac:dyDescent="0.25">
      <c r="B11" s="30" t="s">
        <v>8</v>
      </c>
      <c r="C11" s="31">
        <v>24834</v>
      </c>
      <c r="D11" s="32">
        <v>31</v>
      </c>
      <c r="E11" s="32">
        <v>30</v>
      </c>
      <c r="F11" s="33">
        <v>1</v>
      </c>
      <c r="G11" s="34">
        <v>24033</v>
      </c>
    </row>
    <row r="12" spans="2:7" x14ac:dyDescent="0.25">
      <c r="B12" s="35" t="s">
        <v>9</v>
      </c>
      <c r="C12" s="36">
        <v>24834</v>
      </c>
      <c r="D12" s="37">
        <v>30</v>
      </c>
      <c r="E12" s="37">
        <v>30</v>
      </c>
      <c r="F12" s="37">
        <v>0</v>
      </c>
      <c r="G12" s="5">
        <v>24834</v>
      </c>
    </row>
    <row r="13" spans="2:7" x14ac:dyDescent="0.25">
      <c r="B13" s="35" t="s">
        <v>10</v>
      </c>
      <c r="C13" s="36">
        <v>24834</v>
      </c>
      <c r="D13" s="37">
        <v>31</v>
      </c>
      <c r="E13" s="37">
        <v>31</v>
      </c>
      <c r="F13" s="37">
        <v>0</v>
      </c>
      <c r="G13" s="5">
        <v>24834</v>
      </c>
    </row>
    <row r="14" spans="2:7" x14ac:dyDescent="0.25">
      <c r="B14" s="35" t="s">
        <v>11</v>
      </c>
      <c r="C14" s="36">
        <v>24834</v>
      </c>
      <c r="D14" s="37">
        <v>30</v>
      </c>
      <c r="E14" s="37">
        <v>30</v>
      </c>
      <c r="F14" s="37">
        <v>0</v>
      </c>
      <c r="G14" s="5">
        <v>24834</v>
      </c>
    </row>
    <row r="15" spans="2:7" x14ac:dyDescent="0.25">
      <c r="B15" s="35" t="s">
        <v>12</v>
      </c>
      <c r="C15" s="36">
        <v>24834</v>
      </c>
      <c r="D15" s="37">
        <v>31</v>
      </c>
      <c r="E15" s="37">
        <v>31</v>
      </c>
      <c r="F15" s="37">
        <v>0</v>
      </c>
      <c r="G15" s="5">
        <v>24834</v>
      </c>
    </row>
    <row r="16" spans="2:7" x14ac:dyDescent="0.25">
      <c r="B16" s="35" t="s">
        <v>13</v>
      </c>
      <c r="C16" s="36">
        <v>24834</v>
      </c>
      <c r="D16" s="37">
        <v>31</v>
      </c>
      <c r="E16" s="37">
        <v>31</v>
      </c>
      <c r="F16" s="37">
        <v>0</v>
      </c>
      <c r="G16" s="5">
        <v>24834</v>
      </c>
    </row>
    <row r="17" spans="2:7" x14ac:dyDescent="0.25">
      <c r="B17" s="35" t="s">
        <v>14</v>
      </c>
      <c r="C17" s="36">
        <v>24834</v>
      </c>
      <c r="D17" s="37">
        <v>30</v>
      </c>
      <c r="E17" s="37">
        <v>30</v>
      </c>
      <c r="F17" s="37">
        <v>0</v>
      </c>
      <c r="G17" s="5">
        <v>24834</v>
      </c>
    </row>
    <row r="18" spans="2:7" x14ac:dyDescent="0.25">
      <c r="B18" s="35" t="s">
        <v>15</v>
      </c>
      <c r="C18" s="36">
        <v>24834</v>
      </c>
      <c r="D18" s="37">
        <v>31</v>
      </c>
      <c r="E18" s="37">
        <v>31</v>
      </c>
      <c r="F18" s="37">
        <v>0</v>
      </c>
      <c r="G18" s="5">
        <v>24834</v>
      </c>
    </row>
    <row r="19" spans="2:7" x14ac:dyDescent="0.25">
      <c r="B19" s="35" t="s">
        <v>16</v>
      </c>
      <c r="C19" s="36">
        <v>24834</v>
      </c>
      <c r="D19" s="37">
        <v>30</v>
      </c>
      <c r="E19" s="37">
        <v>30</v>
      </c>
      <c r="F19" s="37">
        <v>0</v>
      </c>
      <c r="G19" s="5">
        <v>24834</v>
      </c>
    </row>
    <row r="20" spans="2:7" ht="16.5" thickBot="1" x14ac:dyDescent="0.3">
      <c r="B20" s="38" t="s">
        <v>17</v>
      </c>
      <c r="C20" s="39">
        <v>24834</v>
      </c>
      <c r="D20" s="40">
        <v>31</v>
      </c>
      <c r="E20" s="40">
        <v>31</v>
      </c>
      <c r="F20" s="40">
        <v>0</v>
      </c>
      <c r="G20" s="5">
        <v>24834</v>
      </c>
    </row>
    <row r="21" spans="2:7" ht="17.25" thickBot="1" x14ac:dyDescent="0.35">
      <c r="B21" s="41" t="s">
        <v>18</v>
      </c>
      <c r="C21" s="42"/>
      <c r="D21" s="42"/>
      <c r="E21" s="42"/>
      <c r="F21" s="43"/>
      <c r="G21" s="4">
        <f>SUM(G11:G20)</f>
        <v>247539</v>
      </c>
    </row>
    <row r="22" spans="2:7" ht="16.5" thickBot="1" x14ac:dyDescent="0.3"/>
    <row r="23" spans="2:7" ht="17.25" thickBot="1" x14ac:dyDescent="0.35">
      <c r="B23" s="44" t="s">
        <v>22</v>
      </c>
      <c r="C23" s="45"/>
      <c r="D23" s="45"/>
      <c r="E23" s="45"/>
      <c r="F23" s="46"/>
      <c r="G23" s="47">
        <f>G21*8.33/100</f>
        <v>20619.9987</v>
      </c>
    </row>
  </sheetData>
  <mergeCells count="17">
    <mergeCell ref="B9:D9"/>
    <mergeCell ref="E9:G9"/>
    <mergeCell ref="B21:F21"/>
    <mergeCell ref="B23:F23"/>
    <mergeCell ref="B6:D6"/>
    <mergeCell ref="E6:G6"/>
    <mergeCell ref="B7:D7"/>
    <mergeCell ref="E7:G7"/>
    <mergeCell ref="B8:D8"/>
    <mergeCell ref="E8:G8"/>
    <mergeCell ref="B1:G1"/>
    <mergeCell ref="B2:G2"/>
    <mergeCell ref="B3:G3"/>
    <mergeCell ref="B4:D4"/>
    <mergeCell ref="E4:G4"/>
    <mergeCell ref="B5:D5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-5</dc:creator>
  <cp:lastModifiedBy>Balaji C</cp:lastModifiedBy>
  <cp:lastPrinted>2025-06-27T09:33:45Z</cp:lastPrinted>
  <dcterms:created xsi:type="dcterms:W3CDTF">2025-05-12T12:23:01Z</dcterms:created>
  <dcterms:modified xsi:type="dcterms:W3CDTF">2026-04-21T12:31:50Z</dcterms:modified>
</cp:coreProperties>
</file>