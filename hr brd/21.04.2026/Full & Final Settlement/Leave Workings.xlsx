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Muthu sir\21.04.2026\Full &amp; Final Settlement\"/>
    </mc:Choice>
  </mc:AlternateContent>
  <bookViews>
    <workbookView xWindow="0" yWindow="0" windowWidth="20490" windowHeight="7620"/>
  </bookViews>
  <sheets>
    <sheet name="Asohan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8" l="1"/>
  <c r="O5" i="8"/>
  <c r="O6" i="8"/>
  <c r="O7" i="8"/>
  <c r="O8" i="8"/>
  <c r="O9" i="8"/>
  <c r="O10" i="8"/>
  <c r="O11" i="8"/>
  <c r="O12" i="8"/>
  <c r="O13" i="8"/>
  <c r="O14" i="8"/>
  <c r="O15" i="8"/>
  <c r="K4" i="8"/>
  <c r="H5" i="8" s="1"/>
  <c r="K5" i="8" s="1"/>
  <c r="H6" i="8" s="1"/>
  <c r="K6" i="8" s="1"/>
  <c r="H7" i="8" s="1"/>
  <c r="K7" i="8" s="1"/>
  <c r="H8" i="8" s="1"/>
  <c r="K8" i="8" s="1"/>
  <c r="H9" i="8" s="1"/>
  <c r="K9" i="8" s="1"/>
  <c r="H10" i="8" s="1"/>
  <c r="K10" i="8" s="1"/>
  <c r="H11" i="8" s="1"/>
  <c r="K11" i="8" s="1"/>
  <c r="H12" i="8" s="1"/>
  <c r="K12" i="8" s="1"/>
  <c r="H13" i="8" s="1"/>
  <c r="K13" i="8" s="1"/>
  <c r="H14" i="8" s="1"/>
  <c r="K14" i="8" s="1"/>
  <c r="H15" i="8" s="1"/>
  <c r="K15" i="8" s="1"/>
  <c r="H16" i="8" s="1"/>
  <c r="K16" i="8" s="1"/>
  <c r="H17" i="8" s="1"/>
  <c r="K17" i="8" s="1"/>
  <c r="H18" i="8" s="1"/>
  <c r="K18" i="8" s="1"/>
  <c r="O18" i="8"/>
  <c r="O17" i="8"/>
  <c r="O16" i="8"/>
</calcChain>
</file>

<file path=xl/sharedStrings.xml><?xml version="1.0" encoding="utf-8"?>
<sst xmlns="http://schemas.openxmlformats.org/spreadsheetml/2006/main" count="101" uniqueCount="33">
  <si>
    <t>Employee Code</t>
  </si>
  <si>
    <t>Name of the 
Employee</t>
  </si>
  <si>
    <t>D.O.J</t>
  </si>
  <si>
    <t xml:space="preserve">Department </t>
  </si>
  <si>
    <t>Designation</t>
  </si>
  <si>
    <t>Year</t>
  </si>
  <si>
    <t>Last year EL Opening Balance</t>
  </si>
  <si>
    <t>Total EL Availed</t>
  </si>
  <si>
    <t xml:space="preserve">EL Balance </t>
  </si>
  <si>
    <t>CL Balance</t>
  </si>
  <si>
    <t>CL Lapsed</t>
  </si>
  <si>
    <t>Production</t>
  </si>
  <si>
    <t>Prepared by</t>
  </si>
  <si>
    <t>K Ganesh</t>
  </si>
  <si>
    <t>CEO</t>
  </si>
  <si>
    <t>Nil</t>
  </si>
  <si>
    <t>S.No</t>
  </si>
  <si>
    <t>Executive-HR</t>
  </si>
  <si>
    <t>Srinivasa Rao</t>
  </si>
  <si>
    <t>Manager-HR&amp;Admin</t>
  </si>
  <si>
    <t>Current year Earned (Credit)</t>
  </si>
  <si>
    <t>KUN AEROSPACE PRIVATE LIMITED.</t>
  </si>
  <si>
    <t>Remarks</t>
  </si>
  <si>
    <t>Current year CL Credit</t>
  </si>
  <si>
    <t>Total CL Availed</t>
  </si>
  <si>
    <t>Carry Forward</t>
  </si>
  <si>
    <t>F &amp; F Settlement</t>
  </si>
  <si>
    <t>Asohan K</t>
  </si>
  <si>
    <t>Sr.Engineer</t>
  </si>
  <si>
    <t>LEAVE BALANCE SUMMARY - Mr. ASOHAN K</t>
  </si>
  <si>
    <t>Adjusted in EL</t>
  </si>
  <si>
    <t>Verified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</si>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</sst>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(* #,##0.00_);_(* \(#,##0.00\);_(* &quot;-&quot;??_);_(@_)"/>
    <numFmt numFmtId="165" formatCode="#,##0;[Red]#,##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/>
    <xf numFmtId="0" fontId="5" fillId="0" borderId="1" xfId="0" applyFont="1" applyBorder="1" applyAlignment="1">
      <alignment vertical="center"/>
    </xf>
    <xf numFmtId="2" fontId="0" fillId="0" borderId="0" xfId="0" applyNumberFormat="1"/>
    <xf numFmtId="165" fontId="4" fillId="0" borderId="0" xfId="1" applyNumberFormat="1" applyFont="1" applyFill="1" applyBorder="1" applyAlignment="1">
      <alignment horizontal="center" vertical="center"/>
    </xf>
    <xf numFmtId="0" fontId="5" fillId="0" borderId="0" xfId="0" quotePrefix="1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1" fontId="6" fillId="0" borderId="1" xfId="1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5" fillId="0" borderId="1" xfId="0" quotePrefix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4" fillId="0" borderId="5" xfId="1" applyNumberFormat="1" applyFont="1" applyFill="1" applyBorder="1" applyAlignment="1">
      <alignment horizontal="center" vertical="center"/>
    </xf>
    <xf numFmtId="166" fontId="4" fillId="0" borderId="6" xfId="1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5" fontId="4" fillId="0" borderId="7" xfId="1" applyNumberFormat="1" applyFont="1" applyFill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14" fontId="5" fillId="0" borderId="8" xfId="0" quotePrefix="1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1" fontId="5" fillId="0" borderId="8" xfId="0" applyNumberFormat="1" applyFont="1" applyBorder="1" applyAlignment="1">
      <alignment vertical="center"/>
    </xf>
    <xf numFmtId="1" fontId="6" fillId="0" borderId="8" xfId="1" applyNumberFormat="1" applyFont="1" applyFill="1" applyBorder="1" applyAlignment="1">
      <alignment vertical="center"/>
    </xf>
    <xf numFmtId="166" fontId="4" fillId="0" borderId="9" xfId="1" applyNumberFormat="1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2" fontId="8" fillId="0" borderId="0" xfId="0" applyNumberFormat="1" applyFont="1"/>
    <xf numFmtId="0" fontId="8" fillId="0" borderId="0" xfId="0" applyFont="1"/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2" fillId="0" borderId="12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2" fontId="2" fillId="0" borderId="3" xfId="0" applyNumberFormat="1" applyFont="1" applyFill="1" applyBorder="1" applyAlignment="1">
      <alignment horizontal="left" vertical="center" wrapText="1"/>
    </xf>
    <xf numFmtId="1" fontId="4" fillId="0" borderId="6" xfId="1" applyNumberFormat="1" applyFont="1" applyFill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1" fontId="6" fillId="0" borderId="9" xfId="1" applyNumberFormat="1" applyFont="1" applyFill="1" applyBorder="1" applyAlignment="1">
      <alignment vertical="center"/>
    </xf>
    <xf numFmtId="1" fontId="4" fillId="0" borderId="8" xfId="1" applyNumberFormat="1" applyFont="1" applyFill="1" applyBorder="1" applyAlignment="1">
      <alignment vertical="center"/>
    </xf>
    <xf numFmtId="166" fontId="4" fillId="0" borderId="1" xfId="1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</cellXfs>
  <cellStyles count="4">
    <cellStyle name="Comma 2" xfId="1"/>
    <cellStyle name="Comma 2 2" xfId="3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"/>
  <sheetViews>
    <sheetView tabSelected="1" topLeftCell="A10" workbookViewId="0">
      <selection activeCell="M23" sqref="M23:N23"/>
    </sheetView>
  </sheetViews>
  <sheetFormatPr defaultColWidth="12.42578125" defaultRowHeight="15" x14ac:dyDescent="0.25"/>
  <cols>
    <col min="1" max="1" width="4.5703125" style="1" bestFit="1" customWidth="1"/>
    <col min="2" max="2" width="8.85546875" style="1" customWidth="1"/>
    <col min="3" max="3" width="10.85546875" style="1" bestFit="1" customWidth="1"/>
    <col min="4" max="4" width="10.42578125" style="1" bestFit="1" customWidth="1"/>
    <col min="5" max="5" width="10.7109375" style="1" bestFit="1" customWidth="1"/>
    <col min="6" max="6" width="10.140625" style="1" bestFit="1" customWidth="1"/>
    <col min="7" max="7" width="5" style="1" bestFit="1" customWidth="1"/>
    <col min="8" max="8" width="10.140625" style="1" bestFit="1" customWidth="1"/>
    <col min="9" max="9" width="10.85546875" style="3" customWidth="1"/>
    <col min="10" max="10" width="7" style="1" customWidth="1"/>
    <col min="11" max="11" width="9" style="3" bestFit="1" customWidth="1"/>
    <col min="12" max="12" width="14.42578125" style="3" bestFit="1" customWidth="1"/>
    <col min="13" max="13" width="11" style="1" bestFit="1" customWidth="1"/>
    <col min="14" max="14" width="7.140625" style="1" bestFit="1" customWidth="1"/>
    <col min="15" max="15" width="9.140625" style="1" bestFit="1" customWidth="1"/>
    <col min="16" max="16" width="13.140625" style="1" bestFit="1" customWidth="1"/>
    <col min="17" max="16384" width="12.42578125" style="1"/>
  </cols>
  <sheetData>
    <row r="1" spans="1:16" x14ac:dyDescent="0.25">
      <c r="A1" s="46" t="s">
        <v>21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8"/>
    </row>
    <row r="2" spans="1:16" ht="15" customHeight="1" thickBot="1" x14ac:dyDescent="0.3">
      <c r="A2" s="49" t="s">
        <v>29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1"/>
    </row>
    <row r="3" spans="1:16" s="10" customFormat="1" ht="36.950000000000003" customHeight="1" x14ac:dyDescent="0.25">
      <c r="A3" s="27" t="s">
        <v>16</v>
      </c>
      <c r="B3" s="28" t="s">
        <v>0</v>
      </c>
      <c r="C3" s="28" t="s">
        <v>1</v>
      </c>
      <c r="D3" s="28" t="s">
        <v>2</v>
      </c>
      <c r="E3" s="28" t="s">
        <v>3</v>
      </c>
      <c r="F3" s="28" t="s">
        <v>4</v>
      </c>
      <c r="G3" s="37" t="s">
        <v>5</v>
      </c>
      <c r="H3" s="32" t="s">
        <v>6</v>
      </c>
      <c r="I3" s="39" t="s">
        <v>20</v>
      </c>
      <c r="J3" s="33" t="s">
        <v>7</v>
      </c>
      <c r="K3" s="39" t="s">
        <v>8</v>
      </c>
      <c r="L3" s="34" t="s">
        <v>22</v>
      </c>
      <c r="M3" s="32" t="s">
        <v>23</v>
      </c>
      <c r="N3" s="33" t="s">
        <v>24</v>
      </c>
      <c r="O3" s="33" t="s">
        <v>9</v>
      </c>
      <c r="P3" s="34" t="s">
        <v>22</v>
      </c>
    </row>
    <row r="4" spans="1:16" s="10" customFormat="1" x14ac:dyDescent="0.25">
      <c r="A4" s="15">
        <v>1</v>
      </c>
      <c r="B4" s="11">
        <v>37</v>
      </c>
      <c r="C4" s="12" t="s">
        <v>27</v>
      </c>
      <c r="D4" s="13">
        <v>41031</v>
      </c>
      <c r="E4" s="14" t="s">
        <v>11</v>
      </c>
      <c r="F4" s="14" t="s">
        <v>28</v>
      </c>
      <c r="G4" s="38">
        <v>2012</v>
      </c>
      <c r="H4" s="35">
        <v>0</v>
      </c>
      <c r="I4" s="8">
        <v>10</v>
      </c>
      <c r="J4" s="2">
        <v>0</v>
      </c>
      <c r="K4" s="9">
        <f t="shared" ref="K4:K15" si="0">H4-J4+I4</f>
        <v>10</v>
      </c>
      <c r="L4" s="40" t="s">
        <v>25</v>
      </c>
      <c r="M4" s="35">
        <v>2</v>
      </c>
      <c r="N4" s="2"/>
      <c r="O4" s="44">
        <f t="shared" ref="O4:O15" si="1">M4-N4</f>
        <v>2</v>
      </c>
      <c r="P4" s="16" t="s">
        <v>10</v>
      </c>
    </row>
    <row r="5" spans="1:16" s="10" customFormat="1" x14ac:dyDescent="0.25">
      <c r="A5" s="15">
        <v>2</v>
      </c>
      <c r="B5" s="11">
        <v>37</v>
      </c>
      <c r="C5" s="12" t="s">
        <v>27</v>
      </c>
      <c r="D5" s="13">
        <v>41031</v>
      </c>
      <c r="E5" s="14" t="s">
        <v>11</v>
      </c>
      <c r="F5" s="14" t="s">
        <v>28</v>
      </c>
      <c r="G5" s="38">
        <v>2013</v>
      </c>
      <c r="H5" s="35">
        <f t="shared" ref="H5:H16" si="2">K4</f>
        <v>10</v>
      </c>
      <c r="I5" s="8">
        <v>14</v>
      </c>
      <c r="J5" s="2">
        <v>0</v>
      </c>
      <c r="K5" s="9">
        <f t="shared" si="0"/>
        <v>24</v>
      </c>
      <c r="L5" s="40" t="s">
        <v>25</v>
      </c>
      <c r="M5" s="35">
        <v>12</v>
      </c>
      <c r="N5" s="2"/>
      <c r="O5" s="44">
        <f t="shared" si="1"/>
        <v>12</v>
      </c>
      <c r="P5" s="16" t="s">
        <v>10</v>
      </c>
    </row>
    <row r="6" spans="1:16" s="10" customFormat="1" x14ac:dyDescent="0.25">
      <c r="A6" s="15">
        <v>3</v>
      </c>
      <c r="B6" s="11">
        <v>37</v>
      </c>
      <c r="C6" s="12" t="s">
        <v>27</v>
      </c>
      <c r="D6" s="13">
        <v>41031</v>
      </c>
      <c r="E6" s="14" t="s">
        <v>11</v>
      </c>
      <c r="F6" s="14" t="s">
        <v>28</v>
      </c>
      <c r="G6" s="38">
        <v>2014</v>
      </c>
      <c r="H6" s="35">
        <f t="shared" si="2"/>
        <v>24</v>
      </c>
      <c r="I6" s="8">
        <v>14</v>
      </c>
      <c r="J6" s="2">
        <v>4</v>
      </c>
      <c r="K6" s="9">
        <f t="shared" si="0"/>
        <v>34</v>
      </c>
      <c r="L6" s="40" t="s">
        <v>25</v>
      </c>
      <c r="M6" s="35">
        <v>12</v>
      </c>
      <c r="N6" s="2"/>
      <c r="O6" s="44">
        <f t="shared" si="1"/>
        <v>12</v>
      </c>
      <c r="P6" s="16" t="s">
        <v>10</v>
      </c>
    </row>
    <row r="7" spans="1:16" s="10" customFormat="1" x14ac:dyDescent="0.25">
      <c r="A7" s="15">
        <v>4</v>
      </c>
      <c r="B7" s="11">
        <v>37</v>
      </c>
      <c r="C7" s="12" t="s">
        <v>27</v>
      </c>
      <c r="D7" s="13">
        <v>41031</v>
      </c>
      <c r="E7" s="14" t="s">
        <v>11</v>
      </c>
      <c r="F7" s="14" t="s">
        <v>28</v>
      </c>
      <c r="G7" s="38">
        <v>2015</v>
      </c>
      <c r="H7" s="35">
        <f t="shared" si="2"/>
        <v>34</v>
      </c>
      <c r="I7" s="8">
        <v>14</v>
      </c>
      <c r="J7" s="2">
        <v>4</v>
      </c>
      <c r="K7" s="9">
        <f t="shared" si="0"/>
        <v>44</v>
      </c>
      <c r="L7" s="40" t="s">
        <v>25</v>
      </c>
      <c r="M7" s="35">
        <v>12</v>
      </c>
      <c r="N7" s="2"/>
      <c r="O7" s="44">
        <f t="shared" si="1"/>
        <v>12</v>
      </c>
      <c r="P7" s="16" t="s">
        <v>10</v>
      </c>
    </row>
    <row r="8" spans="1:16" s="10" customFormat="1" x14ac:dyDescent="0.25">
      <c r="A8" s="15">
        <v>5</v>
      </c>
      <c r="B8" s="11">
        <v>37</v>
      </c>
      <c r="C8" s="12" t="s">
        <v>27</v>
      </c>
      <c r="D8" s="13">
        <v>41031</v>
      </c>
      <c r="E8" s="14" t="s">
        <v>11</v>
      </c>
      <c r="F8" s="14" t="s">
        <v>28</v>
      </c>
      <c r="G8" s="38">
        <v>2016</v>
      </c>
      <c r="H8" s="35">
        <f t="shared" si="2"/>
        <v>44</v>
      </c>
      <c r="I8" s="8">
        <v>14</v>
      </c>
      <c r="J8" s="2">
        <v>0</v>
      </c>
      <c r="K8" s="9">
        <f t="shared" si="0"/>
        <v>58</v>
      </c>
      <c r="L8" s="40" t="s">
        <v>25</v>
      </c>
      <c r="M8" s="35">
        <v>12</v>
      </c>
      <c r="N8" s="2"/>
      <c r="O8" s="44">
        <f t="shared" si="1"/>
        <v>12</v>
      </c>
      <c r="P8" s="16" t="s">
        <v>10</v>
      </c>
    </row>
    <row r="9" spans="1:16" s="10" customFormat="1" x14ac:dyDescent="0.25">
      <c r="A9" s="15">
        <v>6</v>
      </c>
      <c r="B9" s="11">
        <v>37</v>
      </c>
      <c r="C9" s="12" t="s">
        <v>27</v>
      </c>
      <c r="D9" s="13">
        <v>41031</v>
      </c>
      <c r="E9" s="14" t="s">
        <v>11</v>
      </c>
      <c r="F9" s="14" t="s">
        <v>28</v>
      </c>
      <c r="G9" s="38">
        <v>2017</v>
      </c>
      <c r="H9" s="35">
        <f t="shared" si="2"/>
        <v>58</v>
      </c>
      <c r="I9" s="8">
        <v>14</v>
      </c>
      <c r="J9" s="2">
        <v>0</v>
      </c>
      <c r="K9" s="9">
        <f t="shared" si="0"/>
        <v>72</v>
      </c>
      <c r="L9" s="40" t="s">
        <v>25</v>
      </c>
      <c r="M9" s="35">
        <v>12</v>
      </c>
      <c r="N9" s="2"/>
      <c r="O9" s="44">
        <f t="shared" si="1"/>
        <v>12</v>
      </c>
      <c r="P9" s="16" t="s">
        <v>10</v>
      </c>
    </row>
    <row r="10" spans="1:16" s="10" customFormat="1" x14ac:dyDescent="0.25">
      <c r="A10" s="15">
        <v>7</v>
      </c>
      <c r="B10" s="11">
        <v>37</v>
      </c>
      <c r="C10" s="12" t="s">
        <v>27</v>
      </c>
      <c r="D10" s="13">
        <v>41031</v>
      </c>
      <c r="E10" s="14" t="s">
        <v>11</v>
      </c>
      <c r="F10" s="14" t="s">
        <v>28</v>
      </c>
      <c r="G10" s="38">
        <v>2018</v>
      </c>
      <c r="H10" s="35">
        <f t="shared" si="2"/>
        <v>72</v>
      </c>
      <c r="I10" s="8">
        <v>13</v>
      </c>
      <c r="J10" s="2">
        <v>8</v>
      </c>
      <c r="K10" s="9">
        <f t="shared" si="0"/>
        <v>77</v>
      </c>
      <c r="L10" s="40" t="s">
        <v>25</v>
      </c>
      <c r="M10" s="35">
        <v>12</v>
      </c>
      <c r="N10" s="2"/>
      <c r="O10" s="44">
        <f t="shared" si="1"/>
        <v>12</v>
      </c>
      <c r="P10" s="16" t="s">
        <v>10</v>
      </c>
    </row>
    <row r="11" spans="1:16" s="10" customFormat="1" x14ac:dyDescent="0.25">
      <c r="A11" s="15">
        <v>8</v>
      </c>
      <c r="B11" s="11">
        <v>37</v>
      </c>
      <c r="C11" s="12" t="s">
        <v>27</v>
      </c>
      <c r="D11" s="13">
        <v>41031</v>
      </c>
      <c r="E11" s="14" t="s">
        <v>11</v>
      </c>
      <c r="F11" s="14" t="s">
        <v>28</v>
      </c>
      <c r="G11" s="38">
        <v>2019</v>
      </c>
      <c r="H11" s="35">
        <f t="shared" si="2"/>
        <v>77</v>
      </c>
      <c r="I11" s="8">
        <v>15</v>
      </c>
      <c r="J11" s="2">
        <v>0</v>
      </c>
      <c r="K11" s="9">
        <f t="shared" si="0"/>
        <v>92</v>
      </c>
      <c r="L11" s="40" t="s">
        <v>25</v>
      </c>
      <c r="M11" s="35">
        <v>12</v>
      </c>
      <c r="N11" s="2"/>
      <c r="O11" s="44">
        <f t="shared" si="1"/>
        <v>12</v>
      </c>
      <c r="P11" s="16" t="s">
        <v>10</v>
      </c>
    </row>
    <row r="12" spans="1:16" s="10" customFormat="1" x14ac:dyDescent="0.25">
      <c r="A12" s="15">
        <v>9</v>
      </c>
      <c r="B12" s="11">
        <v>37</v>
      </c>
      <c r="C12" s="12" t="s">
        <v>27</v>
      </c>
      <c r="D12" s="13">
        <v>41031</v>
      </c>
      <c r="E12" s="14" t="s">
        <v>11</v>
      </c>
      <c r="F12" s="14" t="s">
        <v>28</v>
      </c>
      <c r="G12" s="38">
        <v>2020</v>
      </c>
      <c r="H12" s="35">
        <f t="shared" si="2"/>
        <v>92</v>
      </c>
      <c r="I12" s="8">
        <v>12</v>
      </c>
      <c r="J12" s="2">
        <v>0</v>
      </c>
      <c r="K12" s="9">
        <f t="shared" si="0"/>
        <v>104</v>
      </c>
      <c r="L12" s="40" t="s">
        <v>25</v>
      </c>
      <c r="M12" s="35">
        <v>12</v>
      </c>
      <c r="N12" s="2"/>
      <c r="O12" s="44">
        <f t="shared" si="1"/>
        <v>12</v>
      </c>
      <c r="P12" s="16" t="s">
        <v>10</v>
      </c>
    </row>
    <row r="13" spans="1:16" s="10" customFormat="1" x14ac:dyDescent="0.25">
      <c r="A13" s="15">
        <v>10</v>
      </c>
      <c r="B13" s="11">
        <v>37</v>
      </c>
      <c r="C13" s="12" t="s">
        <v>27</v>
      </c>
      <c r="D13" s="13">
        <v>41031</v>
      </c>
      <c r="E13" s="14" t="s">
        <v>11</v>
      </c>
      <c r="F13" s="14" t="s">
        <v>28</v>
      </c>
      <c r="G13" s="38">
        <v>2021</v>
      </c>
      <c r="H13" s="35">
        <f t="shared" si="2"/>
        <v>104</v>
      </c>
      <c r="I13" s="8">
        <v>12</v>
      </c>
      <c r="J13" s="2">
        <v>0</v>
      </c>
      <c r="K13" s="9">
        <f t="shared" si="0"/>
        <v>116</v>
      </c>
      <c r="L13" s="40" t="s">
        <v>25</v>
      </c>
      <c r="M13" s="35">
        <v>12</v>
      </c>
      <c r="N13" s="2"/>
      <c r="O13" s="44">
        <f t="shared" si="1"/>
        <v>12</v>
      </c>
      <c r="P13" s="16" t="s">
        <v>10</v>
      </c>
    </row>
    <row r="14" spans="1:16" s="10" customFormat="1" x14ac:dyDescent="0.25">
      <c r="A14" s="15">
        <v>11</v>
      </c>
      <c r="B14" s="11">
        <v>37</v>
      </c>
      <c r="C14" s="12" t="s">
        <v>27</v>
      </c>
      <c r="D14" s="13">
        <v>41031</v>
      </c>
      <c r="E14" s="14" t="s">
        <v>11</v>
      </c>
      <c r="F14" s="14" t="s">
        <v>28</v>
      </c>
      <c r="G14" s="38">
        <v>2022</v>
      </c>
      <c r="H14" s="35">
        <f t="shared" si="2"/>
        <v>116</v>
      </c>
      <c r="I14" s="8">
        <v>12</v>
      </c>
      <c r="J14" s="2">
        <v>4</v>
      </c>
      <c r="K14" s="9">
        <f t="shared" si="0"/>
        <v>124</v>
      </c>
      <c r="L14" s="40" t="s">
        <v>25</v>
      </c>
      <c r="M14" s="35">
        <v>12</v>
      </c>
      <c r="N14" s="2"/>
      <c r="O14" s="44">
        <f t="shared" si="1"/>
        <v>12</v>
      </c>
      <c r="P14" s="16" t="s">
        <v>10</v>
      </c>
    </row>
    <row r="15" spans="1:16" s="10" customFormat="1" x14ac:dyDescent="0.25">
      <c r="A15" s="15">
        <v>12</v>
      </c>
      <c r="B15" s="11">
        <v>37</v>
      </c>
      <c r="C15" s="12" t="s">
        <v>27</v>
      </c>
      <c r="D15" s="13">
        <v>41031</v>
      </c>
      <c r="E15" s="14" t="s">
        <v>11</v>
      </c>
      <c r="F15" s="14" t="s">
        <v>28</v>
      </c>
      <c r="G15" s="38">
        <v>2023</v>
      </c>
      <c r="H15" s="35">
        <f t="shared" si="2"/>
        <v>124</v>
      </c>
      <c r="I15" s="8">
        <v>12</v>
      </c>
      <c r="J15" s="2">
        <v>0</v>
      </c>
      <c r="K15" s="9">
        <f t="shared" si="0"/>
        <v>136</v>
      </c>
      <c r="L15" s="40" t="s">
        <v>25</v>
      </c>
      <c r="M15" s="35">
        <v>12</v>
      </c>
      <c r="N15" s="2"/>
      <c r="O15" s="44">
        <f t="shared" si="1"/>
        <v>12</v>
      </c>
      <c r="P15" s="16" t="s">
        <v>10</v>
      </c>
    </row>
    <row r="16" spans="1:16" x14ac:dyDescent="0.25">
      <c r="A16" s="15">
        <v>13</v>
      </c>
      <c r="B16" s="11">
        <v>37</v>
      </c>
      <c r="C16" s="12" t="s">
        <v>27</v>
      </c>
      <c r="D16" s="13">
        <v>41031</v>
      </c>
      <c r="E16" s="14" t="s">
        <v>11</v>
      </c>
      <c r="F16" s="14" t="s">
        <v>28</v>
      </c>
      <c r="G16" s="38">
        <v>2024</v>
      </c>
      <c r="H16" s="35">
        <f t="shared" si="2"/>
        <v>136</v>
      </c>
      <c r="I16" s="8">
        <v>12</v>
      </c>
      <c r="J16" s="2">
        <v>0</v>
      </c>
      <c r="K16" s="9">
        <f t="shared" ref="K16:K18" si="3">H16-J16+I16</f>
        <v>148</v>
      </c>
      <c r="L16" s="40" t="s">
        <v>25</v>
      </c>
      <c r="M16" s="35">
        <v>12</v>
      </c>
      <c r="N16" s="2">
        <v>4</v>
      </c>
      <c r="O16" s="44">
        <f t="shared" ref="O16:O18" si="4">M16-N16</f>
        <v>8</v>
      </c>
      <c r="P16" s="16" t="s">
        <v>10</v>
      </c>
    </row>
    <row r="17" spans="1:16" x14ac:dyDescent="0.25">
      <c r="A17" s="15">
        <v>14</v>
      </c>
      <c r="B17" s="11">
        <v>37</v>
      </c>
      <c r="C17" s="12" t="s">
        <v>27</v>
      </c>
      <c r="D17" s="13">
        <v>41031</v>
      </c>
      <c r="E17" s="14" t="s">
        <v>11</v>
      </c>
      <c r="F17" s="14" t="s">
        <v>28</v>
      </c>
      <c r="G17" s="38">
        <v>2025</v>
      </c>
      <c r="H17" s="35">
        <f t="shared" ref="H17:H18" si="5">K16</f>
        <v>148</v>
      </c>
      <c r="I17" s="8">
        <v>12</v>
      </c>
      <c r="J17" s="2">
        <v>11</v>
      </c>
      <c r="K17" s="9">
        <f t="shared" si="3"/>
        <v>149</v>
      </c>
      <c r="L17" s="40" t="s">
        <v>25</v>
      </c>
      <c r="M17" s="35">
        <v>12</v>
      </c>
      <c r="N17" s="2">
        <v>12</v>
      </c>
      <c r="O17" s="44">
        <f t="shared" si="4"/>
        <v>0</v>
      </c>
      <c r="P17" s="17" t="s">
        <v>15</v>
      </c>
    </row>
    <row r="18" spans="1:16" ht="15.75" thickBot="1" x14ac:dyDescent="0.3">
      <c r="A18" s="18">
        <v>15</v>
      </c>
      <c r="B18" s="19">
        <v>37</v>
      </c>
      <c r="C18" s="20" t="s">
        <v>27</v>
      </c>
      <c r="D18" s="21">
        <v>41031</v>
      </c>
      <c r="E18" s="22" t="s">
        <v>11</v>
      </c>
      <c r="F18" s="22" t="s">
        <v>28</v>
      </c>
      <c r="G18" s="41">
        <v>2026</v>
      </c>
      <c r="H18" s="36">
        <f t="shared" si="5"/>
        <v>149</v>
      </c>
      <c r="I18" s="24">
        <v>1</v>
      </c>
      <c r="J18" s="23">
        <v>2</v>
      </c>
      <c r="K18" s="25">
        <f t="shared" si="3"/>
        <v>148</v>
      </c>
      <c r="L18" s="42" t="s">
        <v>26</v>
      </c>
      <c r="M18" s="36">
        <v>1</v>
      </c>
      <c r="N18" s="23">
        <v>3</v>
      </c>
      <c r="O18" s="43">
        <f t="shared" si="4"/>
        <v>-2</v>
      </c>
      <c r="P18" s="26" t="s">
        <v>30</v>
      </c>
    </row>
    <row r="19" spans="1:16" x14ac:dyDescent="0.25">
      <c r="A19" s="4"/>
      <c r="B19" s="5"/>
      <c r="C19" s="6"/>
      <c r="D19" s="5"/>
      <c r="E19" s="7"/>
      <c r="F19" s="7"/>
      <c r="G19" s="7"/>
      <c r="I19" s="1"/>
      <c r="K19" s="1"/>
      <c r="L19" s="1"/>
    </row>
    <row r="20" spans="1:16" x14ac:dyDescent="0.25">
      <c r="A20" s="4"/>
      <c r="B20" s="5"/>
      <c r="C20" s="6"/>
      <c r="D20" s="5"/>
      <c r="E20" s="7"/>
      <c r="F20" s="7"/>
      <c r="G20" s="7"/>
      <c r="I20" s="1"/>
      <c r="K20" s="1"/>
      <c r="L20" s="1"/>
    </row>
    <row r="22" spans="1:16" x14ac:dyDescent="0.25">
      <c r="B22" s="45" t="s">
        <v>12</v>
      </c>
      <c r="C22" s="45"/>
      <c r="H22" s="45" t="s">
        <v>31</v>
      </c>
      <c r="I22" s="45"/>
      <c r="M22" s="45" t="s">
        <v>32</v>
      </c>
      <c r="N22" s="45"/>
    </row>
    <row r="23" spans="1:16" x14ac:dyDescent="0.25">
      <c r="B23" s="45" t="s">
        <v>17</v>
      </c>
      <c r="C23" s="45"/>
      <c r="H23" s="29" t="s">
        <v>13</v>
      </c>
      <c r="I23" s="30"/>
      <c r="M23" s="45" t="s">
        <v>18</v>
      </c>
      <c r="N23" s="45"/>
    </row>
    <row r="24" spans="1:16" x14ac:dyDescent="0.25">
      <c r="H24" s="45" t="s">
        <v>19</v>
      </c>
      <c r="I24" s="45"/>
      <c r="M24" s="29" t="s">
        <v>14</v>
      </c>
      <c r="N24" s="31"/>
    </row>
  </sheetData>
  <mergeCells count="8">
    <mergeCell ref="H24:I24"/>
    <mergeCell ref="A1:P1"/>
    <mergeCell ref="A2:P2"/>
    <mergeCell ref="B22:C22"/>
    <mergeCell ref="H22:I22"/>
    <mergeCell ref="M22:N22"/>
    <mergeCell ref="B23:C23"/>
    <mergeCell ref="M23:N2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-5</dc:creator>
  <cp:lastModifiedBy>Balaji C</cp:lastModifiedBy>
  <cp:lastPrinted>2025-06-27T09:33:45Z</cp:lastPrinted>
  <dcterms:created xsi:type="dcterms:W3CDTF">2025-05-12T12:23:01Z</dcterms:created>
  <dcterms:modified xsi:type="dcterms:W3CDTF">2026-04-21T12:30:18Z</dcterms:modified>
</cp:coreProperties>
</file>