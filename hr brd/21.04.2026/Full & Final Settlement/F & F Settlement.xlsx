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Muthu sir\18042026\"/>
    </mc:Choice>
  </mc:AlternateContent>
  <bookViews>
    <workbookView xWindow="0" yWindow="0" windowWidth="20490" windowHeight="7620"/>
  </bookViews>
  <sheets>
    <sheet name="Asohan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6" l="1"/>
  <c r="E31" i="6"/>
  <c r="E36" i="6" s="1"/>
  <c r="E27" i="6"/>
  <c r="D27" i="6"/>
  <c r="D19" i="6"/>
  <c r="E18" i="6"/>
  <c r="E17" i="6"/>
  <c r="E16" i="6"/>
  <c r="E15" i="6"/>
  <c r="E14" i="6"/>
  <c r="E13" i="6"/>
  <c r="E35" i="6" l="1"/>
  <c r="E19" i="6"/>
  <c r="E28" i="6" s="1"/>
</calcChain>
</file>

<file path=xl/sharedStrings.xml><?xml version="1.0" encoding="utf-8"?>
<sst xmlns="http://schemas.openxmlformats.org/spreadsheetml/2006/main" count="70" uniqueCount="65">
  <si>
    <t>Name of the employee</t>
  </si>
  <si>
    <t>Employee ID</t>
  </si>
  <si>
    <t>Resignation Date</t>
  </si>
  <si>
    <t>Designation</t>
  </si>
  <si>
    <t>Date of Joining</t>
  </si>
  <si>
    <t>Department</t>
  </si>
  <si>
    <t>Date of Leaving</t>
  </si>
  <si>
    <t>Paid days</t>
  </si>
  <si>
    <t>Earnings</t>
  </si>
  <si>
    <t>Actual</t>
  </si>
  <si>
    <t>Earned</t>
  </si>
  <si>
    <t>Basic Salary</t>
  </si>
  <si>
    <t>HRA</t>
  </si>
  <si>
    <t>LTA</t>
  </si>
  <si>
    <t>Medical Allowances</t>
  </si>
  <si>
    <t>Education allowances</t>
  </si>
  <si>
    <t>Add. HRA</t>
  </si>
  <si>
    <t>Total</t>
  </si>
  <si>
    <t>Less Deductions (-)</t>
  </si>
  <si>
    <t>EPF</t>
  </si>
  <si>
    <t>Medical Insurance</t>
  </si>
  <si>
    <t>-</t>
  </si>
  <si>
    <t>Professional Tax</t>
  </si>
  <si>
    <t>Canteen Deduction</t>
  </si>
  <si>
    <t>Notice pay</t>
  </si>
  <si>
    <t>Others</t>
  </si>
  <si>
    <t>Total Deductions</t>
  </si>
  <si>
    <t>Other Earnings</t>
  </si>
  <si>
    <t>Eligibility Period</t>
  </si>
  <si>
    <t>Incentives</t>
  </si>
  <si>
    <t>Bonus</t>
  </si>
  <si>
    <t>Net Payable (Rs)</t>
  </si>
  <si>
    <t>Amount in Words</t>
  </si>
  <si>
    <t>Approval 1</t>
  </si>
  <si>
    <t>CEO</t>
  </si>
  <si>
    <t>Declaration</t>
  </si>
  <si>
    <t>I have received full and final settlement of my account with the Company and confirm that all dues to me from the Company are cleared.</t>
  </si>
  <si>
    <t xml:space="preserve">Employee Signature </t>
  </si>
  <si>
    <t xml:space="preserve">Date: </t>
  </si>
  <si>
    <t>Full &amp; Final Settlement_2025-2026</t>
  </si>
  <si>
    <t>Salary Particulars</t>
  </si>
  <si>
    <t>For the Month</t>
  </si>
  <si>
    <t>Prepared By</t>
  </si>
  <si>
    <t>Approval 2</t>
  </si>
  <si>
    <t>MANAGER - HR &amp; ADMIN</t>
  </si>
  <si>
    <t>Net Salary (For Current Month)</t>
  </si>
  <si>
    <t>ASOHAN K</t>
  </si>
  <si>
    <t>0037</t>
  </si>
  <si>
    <t>Production</t>
  </si>
  <si>
    <t>Senior Engineer</t>
  </si>
  <si>
    <r>
      <t xml:space="preserve">Gratutity </t>
    </r>
    <r>
      <rPr>
        <b/>
        <sz val="12"/>
        <color theme="1"/>
        <rFont val="Calibri Light"/>
        <family val="2"/>
        <scheme val="major"/>
      </rPr>
      <t>(Eligible)</t>
    </r>
  </si>
  <si>
    <t>Plot No. 22 &amp; 23, Ambattur Industrial Estate, Chennai - 600 058.</t>
  </si>
  <si>
    <t>KUN Aerospace Pvt. Ltd.</t>
  </si>
  <si>
    <t>SALARY PAID</t>
  </si>
  <si>
    <t>Rupees One Lakh Thirty Nine Thousand One Hundred and Eighty Two only.</t>
  </si>
  <si>
    <t>PMS PAID</t>
  </si>
  <si>
    <t>YET TO BE PAID</t>
  </si>
  <si>
    <t>LIC - TO BE PAID</t>
  </si>
  <si>
    <t>Verified By</t>
  </si>
  <si>
    <t>FINANCE - HEAD</t>
  </si>
  <si>
    <t>Total Days in the Month</t>
  </si>
  <si>
    <t>F &amp; F Date</t>
  </si>
  <si>
    <t>EXECUTIVE - HR</t>
  </si>
  <si>
    <t>Earned Leave Encashment (Days)</t>
  </si>
  <si>
    <t>FY: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</si>
</sst>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20"/>
      <name val="Calibri Light"/>
      <family val="2"/>
      <scheme val="major"/>
    </font>
    <font>
      <sz val="1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15" fontId="2" fillId="3" borderId="7" xfId="0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49" fontId="2" fillId="3" borderId="9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15" fontId="2" fillId="3" borderId="11" xfId="0" applyNumberFormat="1" applyFont="1" applyFill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5" fontId="2" fillId="3" borderId="41" xfId="0" applyNumberFormat="1" applyFont="1" applyFill="1" applyBorder="1" applyAlignment="1">
      <alignment horizontal="right" vertical="center"/>
    </xf>
    <xf numFmtId="0" fontId="7" fillId="0" borderId="39" xfId="0" applyFont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1" fontId="2" fillId="0" borderId="40" xfId="0" applyNumberFormat="1" applyFont="1" applyBorder="1" applyAlignment="1">
      <alignment horizontal="center" vertical="center"/>
    </xf>
    <xf numFmtId="1" fontId="2" fillId="0" borderId="42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4" fillId="0" borderId="0" xfId="0" applyFont="1" applyBorder="1"/>
    <xf numFmtId="0" fontId="7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7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5" fontId="2" fillId="0" borderId="0" xfId="0" applyNumberFormat="1" applyFont="1" applyFill="1" applyBorder="1" applyAlignment="1">
      <alignment horizontal="right" vertical="center"/>
    </xf>
    <xf numFmtId="17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Fill="1" applyBorder="1"/>
    <xf numFmtId="0" fontId="5" fillId="0" borderId="0" xfId="0" applyFont="1" applyBorder="1"/>
    <xf numFmtId="0" fontId="5" fillId="0" borderId="0" xfId="0" applyFont="1" applyBorder="1" applyAlignment="1"/>
    <xf numFmtId="0" fontId="7" fillId="0" borderId="16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left" vertical="center"/>
    </xf>
    <xf numFmtId="1" fontId="2" fillId="4" borderId="57" xfId="0" applyNumberFormat="1" applyFont="1" applyFill="1" applyBorder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17" fontId="7" fillId="3" borderId="48" xfId="0" applyNumberFormat="1" applyFont="1" applyFill="1" applyBorder="1" applyAlignment="1">
      <alignment horizontal="center" vertical="center"/>
    </xf>
    <xf numFmtId="1" fontId="2" fillId="4" borderId="37" xfId="0" applyNumberFormat="1" applyFont="1" applyFill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7" fontId="7" fillId="0" borderId="63" xfId="0" applyNumberFormat="1" applyFont="1" applyFill="1" applyBorder="1" applyAlignment="1">
      <alignment horizontal="center" vertical="center"/>
    </xf>
    <xf numFmtId="17" fontId="7" fillId="0" borderId="62" xfId="0" applyNumberFormat="1" applyFont="1" applyFill="1" applyBorder="1" applyAlignment="1">
      <alignment horizontal="center" vertical="center"/>
    </xf>
    <xf numFmtId="17" fontId="7" fillId="0" borderId="64" xfId="0" applyNumberFormat="1" applyFont="1" applyFill="1" applyBorder="1" applyAlignment="1">
      <alignment horizontal="center" vertical="center"/>
    </xf>
    <xf numFmtId="1" fontId="2" fillId="0" borderId="63" xfId="0" applyNumberFormat="1" applyFont="1" applyFill="1" applyBorder="1" applyAlignment="1">
      <alignment horizontal="center" vertical="center"/>
    </xf>
    <xf numFmtId="1" fontId="2" fillId="0" borderId="62" xfId="0" applyNumberFormat="1" applyFont="1" applyFill="1" applyBorder="1" applyAlignment="1">
      <alignment horizontal="center" vertical="center"/>
    </xf>
    <xf numFmtId="1" fontId="2" fillId="0" borderId="64" xfId="0" applyNumberFormat="1" applyFont="1" applyFill="1" applyBorder="1" applyAlignment="1">
      <alignment horizontal="center" vertical="center"/>
    </xf>
    <xf numFmtId="0" fontId="7" fillId="0" borderId="49" xfId="0" applyFont="1" applyBorder="1" applyAlignment="1">
      <alignment horizontal="center"/>
    </xf>
    <xf numFmtId="0" fontId="5" fillId="0" borderId="50" xfId="0" applyFont="1" applyBorder="1" applyAlignment="1"/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7" fillId="0" borderId="49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5" fillId="0" borderId="19" xfId="0" applyFont="1" applyBorder="1"/>
    <xf numFmtId="0" fontId="2" fillId="0" borderId="1" xfId="0" applyFont="1" applyBorder="1" applyAlignment="1">
      <alignment horizontal="left" vertical="center"/>
    </xf>
    <xf numFmtId="0" fontId="5" fillId="0" borderId="20" xfId="0" applyFont="1" applyBorder="1"/>
    <xf numFmtId="0" fontId="2" fillId="0" borderId="21" xfId="0" applyFont="1" applyBorder="1" applyAlignment="1">
      <alignment horizontal="left" vertical="center"/>
    </xf>
    <xf numFmtId="0" fontId="5" fillId="0" borderId="22" xfId="0" applyFont="1" applyBorder="1"/>
    <xf numFmtId="0" fontId="7" fillId="0" borderId="3" xfId="0" applyFont="1" applyBorder="1" applyAlignment="1">
      <alignment horizontal="left" vertical="center"/>
    </xf>
    <xf numFmtId="0" fontId="5" fillId="0" borderId="26" xfId="0" applyFont="1" applyBorder="1"/>
    <xf numFmtId="0" fontId="7" fillId="0" borderId="46" xfId="0" applyFont="1" applyBorder="1" applyAlignment="1">
      <alignment horizontal="center" vertical="center"/>
    </xf>
    <xf numFmtId="0" fontId="5" fillId="0" borderId="47" xfId="0" applyFont="1" applyBorder="1"/>
    <xf numFmtId="0" fontId="7" fillId="0" borderId="2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7" fontId="2" fillId="0" borderId="17" xfId="0" applyNumberFormat="1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9" fillId="0" borderId="26" xfId="0" applyFont="1" applyBorder="1"/>
    <xf numFmtId="0" fontId="2" fillId="0" borderId="46" xfId="0" applyFont="1" applyBorder="1" applyAlignment="1">
      <alignment horizontal="left" vertical="center"/>
    </xf>
    <xf numFmtId="0" fontId="5" fillId="0" borderId="56" xfId="0" applyFont="1" applyBorder="1"/>
    <xf numFmtId="0" fontId="7" fillId="0" borderId="17" xfId="0" applyFont="1" applyBorder="1" applyAlignment="1">
      <alignment horizontal="left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15" fontId="2" fillId="0" borderId="63" xfId="0" applyNumberFormat="1" applyFont="1" applyFill="1" applyBorder="1" applyAlignment="1">
      <alignment horizontal="center" vertical="center"/>
    </xf>
    <xf numFmtId="15" fontId="2" fillId="0" borderId="62" xfId="0" applyNumberFormat="1" applyFont="1" applyFill="1" applyBorder="1" applyAlignment="1">
      <alignment horizontal="center" vertical="center"/>
    </xf>
    <xf numFmtId="15" fontId="2" fillId="0" borderId="64" xfId="0" applyNumberFormat="1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CE5559.E6BC3F3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104774</xdr:colOff>
      <xdr:row>4</xdr:row>
      <xdr:rowOff>57150</xdr:rowOff>
    </xdr:from>
    <xdr:to>
      <xdr:col>5</xdr:col>
      <xdr:colOff>1162049</xdr:colOff>
      <xdr:row>7</xdr:row>
      <xdr:rowOff>76200</xdr:rowOff>
    </xdr:to>
    <xdr:pic>
      <xdr:nvPicPr>
        <xdr:cNvPr id="3" name="Picture 2" descr="cid:image002.png@01CE5559.E6BC3F30"/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4" y="981075"/>
          <a:ext cx="1057275" cy="704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H17" sqref="H17"/>
    </sheetView>
  </sheetViews>
  <sheetFormatPr defaultColWidth="44.5703125" defaultRowHeight="15" x14ac:dyDescent="0.25"/>
  <cols>
    <col min="1" max="1" width="3.28515625" customWidth="1"/>
    <col min="2" max="2" width="26.7109375" customWidth="1"/>
    <col min="3" max="3" width="25.7109375" customWidth="1"/>
    <col min="4" max="6" width="18.7109375" customWidth="1"/>
    <col min="7" max="7" width="12.7109375" customWidth="1"/>
  </cols>
  <sheetData>
    <row r="1" spans="1:7" ht="15.75" thickBot="1" x14ac:dyDescent="0.3">
      <c r="A1" s="1"/>
      <c r="B1" s="1"/>
      <c r="C1" s="1"/>
      <c r="D1" s="1"/>
      <c r="E1" s="1"/>
      <c r="F1" s="1"/>
      <c r="G1" s="1"/>
    </row>
    <row r="2" spans="1:7" ht="21" customHeight="1" x14ac:dyDescent="0.4">
      <c r="A2" s="2"/>
      <c r="B2" s="120" t="s">
        <v>52</v>
      </c>
      <c r="C2" s="121"/>
      <c r="D2" s="121"/>
      <c r="E2" s="121"/>
      <c r="F2" s="122"/>
      <c r="G2" s="40"/>
    </row>
    <row r="3" spans="1:7" ht="18" customHeight="1" thickBot="1" x14ac:dyDescent="0.3">
      <c r="A3" s="2"/>
      <c r="B3" s="123" t="s">
        <v>51</v>
      </c>
      <c r="C3" s="124"/>
      <c r="D3" s="124"/>
      <c r="E3" s="124"/>
      <c r="F3" s="125"/>
      <c r="G3" s="54"/>
    </row>
    <row r="4" spans="1:7" ht="18" customHeight="1" thickBot="1" x14ac:dyDescent="0.3">
      <c r="A4" s="2"/>
      <c r="B4" s="126" t="s">
        <v>39</v>
      </c>
      <c r="C4" s="127"/>
      <c r="D4" s="127"/>
      <c r="E4" s="127"/>
      <c r="F4" s="128"/>
      <c r="G4" s="50"/>
    </row>
    <row r="5" spans="1:7" ht="18" customHeight="1" x14ac:dyDescent="0.25">
      <c r="A5" s="2"/>
      <c r="B5" s="3" t="s">
        <v>0</v>
      </c>
      <c r="C5" s="4" t="s">
        <v>46</v>
      </c>
      <c r="D5" s="5" t="s">
        <v>61</v>
      </c>
      <c r="E5" s="6">
        <v>46127</v>
      </c>
      <c r="F5" s="129"/>
      <c r="G5" s="51"/>
    </row>
    <row r="6" spans="1:7" ht="18" customHeight="1" x14ac:dyDescent="0.25">
      <c r="A6" s="2"/>
      <c r="B6" s="7" t="s">
        <v>1</v>
      </c>
      <c r="C6" s="8" t="s">
        <v>47</v>
      </c>
      <c r="D6" s="9" t="s">
        <v>2</v>
      </c>
      <c r="E6" s="10">
        <v>46022</v>
      </c>
      <c r="F6" s="130"/>
      <c r="G6" s="51"/>
    </row>
    <row r="7" spans="1:7" ht="18" customHeight="1" x14ac:dyDescent="0.25">
      <c r="A7" s="2"/>
      <c r="B7" s="11" t="s">
        <v>3</v>
      </c>
      <c r="C7" s="12" t="s">
        <v>49</v>
      </c>
      <c r="D7" s="9" t="s">
        <v>4</v>
      </c>
      <c r="E7" s="10">
        <v>41031</v>
      </c>
      <c r="F7" s="130"/>
      <c r="G7" s="51"/>
    </row>
    <row r="8" spans="1:7" ht="18" customHeight="1" thickBot="1" x14ac:dyDescent="0.3">
      <c r="A8" s="2"/>
      <c r="B8" s="13" t="s">
        <v>5</v>
      </c>
      <c r="C8" s="14" t="s">
        <v>48</v>
      </c>
      <c r="D8" s="15" t="s">
        <v>6</v>
      </c>
      <c r="E8" s="30">
        <v>46053</v>
      </c>
      <c r="F8" s="131"/>
      <c r="G8" s="51"/>
    </row>
    <row r="9" spans="1:7" ht="18" customHeight="1" thickBot="1" x14ac:dyDescent="0.3">
      <c r="A9" s="2"/>
      <c r="B9" s="95"/>
      <c r="C9" s="132"/>
      <c r="D9" s="132"/>
      <c r="E9" s="132"/>
      <c r="F9" s="96"/>
      <c r="G9" s="49"/>
    </row>
    <row r="10" spans="1:7" ht="18" customHeight="1" x14ac:dyDescent="0.25">
      <c r="A10" s="2"/>
      <c r="B10" s="105" t="s">
        <v>40</v>
      </c>
      <c r="C10" s="118"/>
      <c r="D10" s="71" t="s">
        <v>41</v>
      </c>
      <c r="E10" s="63">
        <v>46023</v>
      </c>
      <c r="F10" s="75"/>
      <c r="G10" s="52"/>
    </row>
    <row r="11" spans="1:7" ht="18" customHeight="1" x14ac:dyDescent="0.25">
      <c r="A11" s="2"/>
      <c r="B11" s="16" t="s">
        <v>60</v>
      </c>
      <c r="C11" s="17">
        <v>31</v>
      </c>
      <c r="D11" s="18" t="s">
        <v>7</v>
      </c>
      <c r="E11" s="19">
        <v>31</v>
      </c>
      <c r="F11" s="76"/>
      <c r="G11" s="53"/>
    </row>
    <row r="12" spans="1:7" ht="18" customHeight="1" x14ac:dyDescent="0.25">
      <c r="A12" s="2"/>
      <c r="B12" s="119" t="s">
        <v>8</v>
      </c>
      <c r="C12" s="98"/>
      <c r="D12" s="18" t="s">
        <v>9</v>
      </c>
      <c r="E12" s="20" t="s">
        <v>10</v>
      </c>
      <c r="F12" s="76"/>
      <c r="G12" s="41"/>
    </row>
    <row r="13" spans="1:7" ht="18" customHeight="1" x14ac:dyDescent="0.25">
      <c r="A13" s="2"/>
      <c r="B13" s="114" t="s">
        <v>11</v>
      </c>
      <c r="C13" s="98"/>
      <c r="D13" s="21">
        <v>24834</v>
      </c>
      <c r="E13" s="22">
        <f>(D13/C11)*E11</f>
        <v>24834</v>
      </c>
      <c r="F13" s="76"/>
      <c r="G13" s="42"/>
    </row>
    <row r="14" spans="1:7" ht="18" customHeight="1" x14ac:dyDescent="0.25">
      <c r="A14" s="2"/>
      <c r="B14" s="115" t="s">
        <v>12</v>
      </c>
      <c r="C14" s="98"/>
      <c r="D14" s="21">
        <v>13546</v>
      </c>
      <c r="E14" s="22">
        <f>(D14/C11)*E11</f>
        <v>13546</v>
      </c>
      <c r="F14" s="76"/>
      <c r="G14" s="42"/>
    </row>
    <row r="15" spans="1:7" ht="18" customHeight="1" x14ac:dyDescent="0.25">
      <c r="A15" s="2"/>
      <c r="B15" s="115" t="s">
        <v>13</v>
      </c>
      <c r="C15" s="98"/>
      <c r="D15" s="21">
        <v>2258</v>
      </c>
      <c r="E15" s="22">
        <f>(D15/C11)*E11</f>
        <v>2258</v>
      </c>
      <c r="F15" s="76"/>
      <c r="G15" s="42"/>
    </row>
    <row r="16" spans="1:7" ht="18" customHeight="1" x14ac:dyDescent="0.25">
      <c r="A16" s="2"/>
      <c r="B16" s="115" t="s">
        <v>14</v>
      </c>
      <c r="C16" s="98"/>
      <c r="D16" s="21">
        <v>3161</v>
      </c>
      <c r="E16" s="22">
        <f>(D16/C11)*E11</f>
        <v>3161</v>
      </c>
      <c r="F16" s="76"/>
      <c r="G16" s="42"/>
    </row>
    <row r="17" spans="1:7" ht="18" customHeight="1" x14ac:dyDescent="0.25">
      <c r="A17" s="2"/>
      <c r="B17" s="115" t="s">
        <v>15</v>
      </c>
      <c r="C17" s="98"/>
      <c r="D17" s="21">
        <v>1355</v>
      </c>
      <c r="E17" s="22">
        <f>(D17/C11)*E11</f>
        <v>1355</v>
      </c>
      <c r="F17" s="76"/>
      <c r="G17" s="42"/>
    </row>
    <row r="18" spans="1:7" ht="18" customHeight="1" thickBot="1" x14ac:dyDescent="0.3">
      <c r="A18" s="2"/>
      <c r="B18" s="99" t="s">
        <v>16</v>
      </c>
      <c r="C18" s="100"/>
      <c r="D18" s="21">
        <v>14375</v>
      </c>
      <c r="E18" s="22">
        <f>(D18/C11)*E11</f>
        <v>14375</v>
      </c>
      <c r="F18" s="76"/>
      <c r="G18" s="42"/>
    </row>
    <row r="19" spans="1:7" ht="18" customHeight="1" thickBot="1" x14ac:dyDescent="0.3">
      <c r="A19" s="2"/>
      <c r="B19" s="103" t="s">
        <v>17</v>
      </c>
      <c r="C19" s="116"/>
      <c r="D19" s="27">
        <f t="shared" ref="D19:E19" si="0">SUM(D13:D18)</f>
        <v>59529</v>
      </c>
      <c r="E19" s="28">
        <f t="shared" si="0"/>
        <v>59529</v>
      </c>
      <c r="F19" s="77"/>
      <c r="G19" s="43"/>
    </row>
    <row r="20" spans="1:7" ht="18" customHeight="1" thickBot="1" x14ac:dyDescent="0.3">
      <c r="A20" s="2"/>
      <c r="B20" s="93" t="s">
        <v>18</v>
      </c>
      <c r="C20" s="113"/>
      <c r="D20" s="113"/>
      <c r="E20" s="113"/>
      <c r="F20" s="94"/>
      <c r="G20" s="55"/>
    </row>
    <row r="21" spans="1:7" ht="18" customHeight="1" x14ac:dyDescent="0.25">
      <c r="A21" s="2"/>
      <c r="B21" s="117" t="s">
        <v>19</v>
      </c>
      <c r="C21" s="118"/>
      <c r="D21" s="61">
        <v>3793</v>
      </c>
      <c r="E21" s="64">
        <v>3793</v>
      </c>
      <c r="F21" s="78"/>
      <c r="G21" s="46"/>
    </row>
    <row r="22" spans="1:7" ht="18" customHeight="1" x14ac:dyDescent="0.25">
      <c r="A22" s="2"/>
      <c r="B22" s="97" t="s">
        <v>20</v>
      </c>
      <c r="C22" s="98"/>
      <c r="D22" s="34" t="s">
        <v>21</v>
      </c>
      <c r="E22" s="32">
        <v>6408</v>
      </c>
      <c r="F22" s="79"/>
      <c r="G22" s="47"/>
    </row>
    <row r="23" spans="1:7" ht="18" customHeight="1" x14ac:dyDescent="0.25">
      <c r="A23" s="2"/>
      <c r="B23" s="97" t="s">
        <v>22</v>
      </c>
      <c r="C23" s="98"/>
      <c r="D23" s="34">
        <v>208</v>
      </c>
      <c r="E23" s="32">
        <v>208</v>
      </c>
      <c r="F23" s="79"/>
      <c r="G23" s="47"/>
    </row>
    <row r="24" spans="1:7" ht="18" customHeight="1" x14ac:dyDescent="0.25">
      <c r="A24" s="2"/>
      <c r="B24" s="97" t="s">
        <v>23</v>
      </c>
      <c r="C24" s="98"/>
      <c r="D24" s="34">
        <v>600</v>
      </c>
      <c r="E24" s="32">
        <v>600</v>
      </c>
      <c r="F24" s="79"/>
      <c r="G24" s="47"/>
    </row>
    <row r="25" spans="1:7" ht="18" customHeight="1" x14ac:dyDescent="0.25">
      <c r="A25" s="2"/>
      <c r="B25" s="97" t="s">
        <v>24</v>
      </c>
      <c r="C25" s="98"/>
      <c r="D25" s="34" t="s">
        <v>21</v>
      </c>
      <c r="E25" s="32" t="s">
        <v>21</v>
      </c>
      <c r="F25" s="79"/>
      <c r="G25" s="47"/>
    </row>
    <row r="26" spans="1:7" ht="18" customHeight="1" thickBot="1" x14ac:dyDescent="0.3">
      <c r="A26" s="2"/>
      <c r="B26" s="99" t="s">
        <v>25</v>
      </c>
      <c r="C26" s="100"/>
      <c r="D26" s="35" t="s">
        <v>21</v>
      </c>
      <c r="E26" s="33" t="s">
        <v>21</v>
      </c>
      <c r="F26" s="79"/>
      <c r="G26" s="47"/>
    </row>
    <row r="27" spans="1:7" ht="18" customHeight="1" thickBot="1" x14ac:dyDescent="0.3">
      <c r="A27" s="2"/>
      <c r="B27" s="101" t="s">
        <v>26</v>
      </c>
      <c r="C27" s="102"/>
      <c r="D27" s="37">
        <f>SUM(D21:D26)</f>
        <v>4601</v>
      </c>
      <c r="E27" s="36">
        <f>SUM(E21:E26)</f>
        <v>11009</v>
      </c>
      <c r="F27" s="80"/>
      <c r="G27" s="46"/>
    </row>
    <row r="28" spans="1:7" ht="18" customHeight="1" thickBot="1" x14ac:dyDescent="0.3">
      <c r="A28" s="2"/>
      <c r="B28" s="103" t="s">
        <v>45</v>
      </c>
      <c r="C28" s="104"/>
      <c r="D28" s="27">
        <v>0</v>
      </c>
      <c r="E28" s="28">
        <f>E19-E27</f>
        <v>48520</v>
      </c>
      <c r="F28" s="60" t="s">
        <v>53</v>
      </c>
      <c r="G28" s="48"/>
    </row>
    <row r="29" spans="1:7" ht="18" customHeight="1" thickBot="1" x14ac:dyDescent="0.3">
      <c r="A29" s="2"/>
      <c r="B29" s="93" t="s">
        <v>27</v>
      </c>
      <c r="C29" s="113"/>
      <c r="D29" s="113"/>
      <c r="E29" s="113"/>
      <c r="F29" s="94"/>
      <c r="G29" s="55"/>
    </row>
    <row r="30" spans="1:7" ht="18" customHeight="1" x14ac:dyDescent="0.25">
      <c r="A30" s="2"/>
      <c r="B30" s="105"/>
      <c r="C30" s="106"/>
      <c r="D30" s="38" t="s">
        <v>28</v>
      </c>
      <c r="E30" s="39"/>
      <c r="F30" s="57"/>
      <c r="G30" s="41"/>
    </row>
    <row r="31" spans="1:7" ht="18" customHeight="1" thickBot="1" x14ac:dyDescent="0.3">
      <c r="A31" s="2"/>
      <c r="B31" s="97" t="s">
        <v>63</v>
      </c>
      <c r="C31" s="98"/>
      <c r="D31" s="24">
        <v>148</v>
      </c>
      <c r="E31" s="22">
        <f>(D13/C11)*D31</f>
        <v>118562.32258064517</v>
      </c>
      <c r="F31" s="58"/>
      <c r="G31" s="42"/>
    </row>
    <row r="32" spans="1:7" ht="18" customHeight="1" thickBot="1" x14ac:dyDescent="0.3">
      <c r="A32" s="2"/>
      <c r="B32" s="97" t="s">
        <v>50</v>
      </c>
      <c r="C32" s="98"/>
      <c r="D32" s="21" t="str">
        <f>DATEDIF(E7,E8,"Y") &amp; " Years, " &amp; DATEDIF(E7, E8, "YM" )&amp; " Months"</f>
        <v>13 Years, 8 Months</v>
      </c>
      <c r="E32" s="22">
        <v>200579</v>
      </c>
      <c r="F32" s="60" t="s">
        <v>57</v>
      </c>
      <c r="G32" s="48"/>
    </row>
    <row r="33" spans="1:7" ht="18" customHeight="1" thickBot="1" x14ac:dyDescent="0.3">
      <c r="A33" s="2"/>
      <c r="B33" s="97" t="s">
        <v>29</v>
      </c>
      <c r="C33" s="98"/>
      <c r="D33" s="21">
        <v>3133</v>
      </c>
      <c r="E33" s="22">
        <v>2647</v>
      </c>
      <c r="F33" s="60" t="s">
        <v>55</v>
      </c>
      <c r="G33" s="48"/>
    </row>
    <row r="34" spans="1:7" ht="18" customHeight="1" thickBot="1" x14ac:dyDescent="0.3">
      <c r="A34" s="2"/>
      <c r="B34" s="99" t="s">
        <v>30</v>
      </c>
      <c r="C34" s="100"/>
      <c r="D34" s="25" t="s">
        <v>64</v>
      </c>
      <c r="E34" s="26">
        <v>20620</v>
      </c>
      <c r="F34" s="58"/>
      <c r="G34" s="42"/>
    </row>
    <row r="35" spans="1:7" ht="18" customHeight="1" thickBot="1" x14ac:dyDescent="0.3">
      <c r="A35" s="2"/>
      <c r="B35" s="107" t="s">
        <v>17</v>
      </c>
      <c r="C35" s="108"/>
      <c r="D35" s="109"/>
      <c r="E35" s="23">
        <f>SUM(E31:E34)</f>
        <v>342408.32258064515</v>
      </c>
      <c r="F35" s="59"/>
      <c r="G35" s="43"/>
    </row>
    <row r="36" spans="1:7" ht="18" customHeight="1" thickBot="1" x14ac:dyDescent="0.3">
      <c r="A36" s="2"/>
      <c r="B36" s="110" t="s">
        <v>31</v>
      </c>
      <c r="C36" s="111"/>
      <c r="D36" s="112"/>
      <c r="E36" s="28">
        <f>E31+E34</f>
        <v>139182.32258064515</v>
      </c>
      <c r="F36" s="60" t="s">
        <v>56</v>
      </c>
      <c r="G36" s="48"/>
    </row>
    <row r="37" spans="1:7" ht="21" customHeight="1" thickBot="1" x14ac:dyDescent="0.3">
      <c r="A37" s="2"/>
      <c r="B37" s="62" t="s">
        <v>32</v>
      </c>
      <c r="C37" s="72" t="s">
        <v>54</v>
      </c>
      <c r="D37" s="73"/>
      <c r="E37" s="73"/>
      <c r="F37" s="74"/>
      <c r="G37" s="44"/>
    </row>
    <row r="38" spans="1:7" ht="45" customHeight="1" thickBot="1" x14ac:dyDescent="0.3">
      <c r="A38" s="2"/>
      <c r="B38" s="68"/>
      <c r="C38" s="69"/>
      <c r="D38" s="70"/>
      <c r="E38" s="91"/>
      <c r="F38" s="92"/>
      <c r="G38" s="55"/>
    </row>
    <row r="39" spans="1:7" ht="16.5" thickBot="1" x14ac:dyDescent="0.3">
      <c r="A39" s="2"/>
      <c r="B39" s="29" t="s">
        <v>42</v>
      </c>
      <c r="C39" s="31" t="s">
        <v>58</v>
      </c>
      <c r="D39" s="31" t="s">
        <v>33</v>
      </c>
      <c r="E39" s="93" t="s">
        <v>43</v>
      </c>
      <c r="F39" s="94"/>
      <c r="G39" s="41"/>
    </row>
    <row r="40" spans="1:7" ht="16.5" thickBot="1" x14ac:dyDescent="0.3">
      <c r="A40" s="2"/>
      <c r="B40" s="65" t="s">
        <v>62</v>
      </c>
      <c r="C40" s="66" t="s">
        <v>44</v>
      </c>
      <c r="D40" s="67" t="s">
        <v>34</v>
      </c>
      <c r="E40" s="95" t="s">
        <v>59</v>
      </c>
      <c r="F40" s="96"/>
      <c r="G40" s="45"/>
    </row>
    <row r="41" spans="1:7" ht="15.75" x14ac:dyDescent="0.25">
      <c r="A41" s="2"/>
      <c r="B41" s="85" t="s">
        <v>35</v>
      </c>
      <c r="C41" s="86"/>
      <c r="D41" s="86"/>
      <c r="E41" s="86"/>
      <c r="F41" s="87"/>
      <c r="G41" s="55"/>
    </row>
    <row r="42" spans="1:7" ht="30" customHeight="1" thickBot="1" x14ac:dyDescent="0.3">
      <c r="A42" s="2"/>
      <c r="B42" s="88" t="s">
        <v>36</v>
      </c>
      <c r="C42" s="89"/>
      <c r="D42" s="89"/>
      <c r="E42" s="89"/>
      <c r="F42" s="90"/>
      <c r="G42" s="55"/>
    </row>
    <row r="43" spans="1:7" ht="45" customHeight="1" thickBot="1" x14ac:dyDescent="0.3">
      <c r="A43" s="2"/>
      <c r="B43" s="81" t="s">
        <v>37</v>
      </c>
      <c r="C43" s="82"/>
      <c r="D43" s="81" t="s">
        <v>38</v>
      </c>
      <c r="E43" s="83"/>
      <c r="F43" s="84"/>
      <c r="G43" s="56"/>
    </row>
  </sheetData>
  <mergeCells count="41">
    <mergeCell ref="B12:C12"/>
    <mergeCell ref="B10:C10"/>
    <mergeCell ref="B2:F2"/>
    <mergeCell ref="B3:F3"/>
    <mergeCell ref="B4:F4"/>
    <mergeCell ref="F5:F8"/>
    <mergeCell ref="B9:F9"/>
    <mergeCell ref="B29:F29"/>
    <mergeCell ref="B24:C24"/>
    <mergeCell ref="B13:C13"/>
    <mergeCell ref="B14:C14"/>
    <mergeCell ref="B15:C15"/>
    <mergeCell ref="B16:C16"/>
    <mergeCell ref="B17:C17"/>
    <mergeCell ref="B18:C18"/>
    <mergeCell ref="B19:C19"/>
    <mergeCell ref="B21:C21"/>
    <mergeCell ref="B22:C22"/>
    <mergeCell ref="B23:C23"/>
    <mergeCell ref="B20:F20"/>
    <mergeCell ref="B32:C32"/>
    <mergeCell ref="B33:C33"/>
    <mergeCell ref="B34:C34"/>
    <mergeCell ref="B35:D35"/>
    <mergeCell ref="B36:D36"/>
    <mergeCell ref="C37:F37"/>
    <mergeCell ref="F10:F19"/>
    <mergeCell ref="F21:F27"/>
    <mergeCell ref="B43:C43"/>
    <mergeCell ref="D43:F43"/>
    <mergeCell ref="B41:F41"/>
    <mergeCell ref="B42:F42"/>
    <mergeCell ref="E38:F38"/>
    <mergeCell ref="E39:F39"/>
    <mergeCell ref="E40:F40"/>
    <mergeCell ref="B25:C25"/>
    <mergeCell ref="B26:C26"/>
    <mergeCell ref="B27:C27"/>
    <mergeCell ref="B28:C28"/>
    <mergeCell ref="B30:C30"/>
    <mergeCell ref="B31:C31"/>
  </mergeCells>
  <pageMargins left="0.7" right="0.7" top="0.75" bottom="0.75" header="0.3" footer="0.3"/>
  <pageSetup paperSize="9" orientation="portrait" r:id="rId1"/>
  <ignoredErrors>
    <ignoredError sqref="C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-5</dc:creator>
  <cp:lastModifiedBy>Balaji C</cp:lastModifiedBy>
  <dcterms:created xsi:type="dcterms:W3CDTF">2026-01-14T12:07:43Z</dcterms:created>
  <dcterms:modified xsi:type="dcterms:W3CDTF">2026-04-18T09:46:28Z</dcterms:modified>
</cp:coreProperties>
</file>