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filterPrivacy="1"/>
  <xr:revisionPtr revIDLastSave="0" documentId="11_C956F42891ED15E21482ECB0B776C5542E12FC28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D29" i="1"/>
  <c r="E17" i="1"/>
  <c r="D17" i="1"/>
  <c r="C17" i="1"/>
  <c r="M7" i="1" l="1"/>
  <c r="L7" i="1"/>
  <c r="K7" i="1"/>
  <c r="J7" i="1"/>
  <c r="I7" i="1"/>
  <c r="H7" i="1"/>
  <c r="E7" i="1"/>
  <c r="D7" i="1"/>
  <c r="C7" i="1"/>
  <c r="B7" i="1"/>
  <c r="N6" i="1"/>
  <c r="N5" i="1"/>
  <c r="G7" i="1"/>
  <c r="F7" i="1"/>
  <c r="N4" i="1"/>
  <c r="N3" i="1"/>
  <c r="N7" i="1" l="1"/>
</calcChain>
</file>

<file path=xl/sharedStrings.xml><?xml version="1.0" encoding="utf-8"?>
<sst xmlns="http://schemas.openxmlformats.org/spreadsheetml/2006/main" count="33" uniqueCount="31">
  <si>
    <t>Comparison Statement</t>
  </si>
  <si>
    <t>Particulars</t>
  </si>
  <si>
    <t>Diff</t>
  </si>
  <si>
    <t>No of Employee</t>
  </si>
  <si>
    <t>Er. Gross Salary</t>
  </si>
  <si>
    <t>Net Salary</t>
  </si>
  <si>
    <t>Incentive</t>
  </si>
  <si>
    <t>Net Payable</t>
  </si>
  <si>
    <t>Particular's</t>
  </si>
  <si>
    <t>No of Emp.</t>
  </si>
  <si>
    <t>Er. Gross</t>
  </si>
  <si>
    <t>Er. Net</t>
  </si>
  <si>
    <t>Feb'2026</t>
  </si>
  <si>
    <t>Resigned</t>
  </si>
  <si>
    <t>New Joinee</t>
  </si>
  <si>
    <t>GMC Insurance</t>
  </si>
  <si>
    <t xml:space="preserve">Different on LOP </t>
  </si>
  <si>
    <t>Mar'2026</t>
  </si>
  <si>
    <t>Department</t>
  </si>
  <si>
    <t>Opening</t>
  </si>
  <si>
    <t>End of Month</t>
  </si>
  <si>
    <t>Costing &amp; Estimations</t>
  </si>
  <si>
    <t>Deburring</t>
  </si>
  <si>
    <t>Engineering</t>
  </si>
  <si>
    <t>HR &amp; Admin</t>
  </si>
  <si>
    <t>Maintenance</t>
  </si>
  <si>
    <t>Production</t>
  </si>
  <si>
    <t>Purchase</t>
  </si>
  <si>
    <t>Quality</t>
  </si>
  <si>
    <t>Engineering &amp; Projects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</si>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</sst>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b/>
      <sz val="25"/>
      <color rgb="FFFF0000"/>
      <name val="Calibri"/>
      <family val="2"/>
      <scheme val="minor"/>
    </font>
    <font>
      <sz val="2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2" applyFont="1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164" fontId="4" fillId="0" borderId="0" xfId="2" applyNumberFormat="1" applyFont="1"/>
    <xf numFmtId="0" fontId="5" fillId="0" borderId="0" xfId="2" applyFont="1"/>
    <xf numFmtId="0" fontId="5" fillId="0" borderId="0" xfId="2" applyFont="1" applyAlignment="1">
      <alignment horizontal="center"/>
    </xf>
    <xf numFmtId="165" fontId="5" fillId="0" borderId="0" xfId="3" applyNumberFormat="1" applyFont="1"/>
    <xf numFmtId="0" fontId="3" fillId="0" borderId="3" xfId="2" applyFont="1" applyBorder="1" applyAlignment="1">
      <alignment horizontal="center" vertical="center"/>
    </xf>
    <xf numFmtId="17" fontId="3" fillId="0" borderId="3" xfId="2" applyNumberFormat="1" applyFont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0" fontId="2" fillId="0" borderId="3" xfId="2" applyFont="1" applyBorder="1" applyAlignment="1">
      <alignment horizontal="center" vertical="center"/>
    </xf>
    <xf numFmtId="3" fontId="2" fillId="0" borderId="3" xfId="1" applyNumberFormat="1" applyFont="1" applyBorder="1" applyAlignment="1">
      <alignment vertical="center"/>
    </xf>
    <xf numFmtId="166" fontId="4" fillId="0" borderId="0" xfId="2" applyNumberFormat="1" applyFont="1"/>
    <xf numFmtId="166" fontId="4" fillId="0" borderId="0" xfId="1" applyNumberFormat="1" applyFont="1"/>
    <xf numFmtId="165" fontId="4" fillId="0" borderId="0" xfId="2" applyNumberFormat="1" applyFont="1"/>
    <xf numFmtId="166" fontId="5" fillId="0" borderId="0" xfId="2" applyNumberFormat="1" applyFont="1"/>
    <xf numFmtId="165" fontId="2" fillId="0" borderId="3" xfId="3" applyNumberFormat="1" applyFont="1" applyBorder="1" applyAlignment="1">
      <alignment vertical="center"/>
    </xf>
    <xf numFmtId="3" fontId="5" fillId="0" borderId="0" xfId="2" applyNumberFormat="1" applyFont="1"/>
    <xf numFmtId="165" fontId="2" fillId="0" borderId="3" xfId="2" applyNumberFormat="1" applyFont="1" applyBorder="1" applyAlignment="1">
      <alignment vertical="center"/>
    </xf>
    <xf numFmtId="166" fontId="2" fillId="0" borderId="3" xfId="1" applyNumberFormat="1" applyFont="1" applyBorder="1" applyAlignment="1">
      <alignment vertical="center"/>
    </xf>
    <xf numFmtId="0" fontId="3" fillId="0" borderId="3" xfId="2" applyFont="1" applyBorder="1" applyAlignment="1">
      <alignment vertical="center"/>
    </xf>
    <xf numFmtId="165" fontId="6" fillId="2" borderId="3" xfId="2" applyNumberFormat="1" applyFont="1" applyFill="1" applyBorder="1" applyAlignment="1">
      <alignment vertical="center"/>
    </xf>
    <xf numFmtId="165" fontId="5" fillId="0" borderId="0" xfId="2" applyNumberFormat="1" applyFont="1"/>
    <xf numFmtId="165" fontId="2" fillId="0" borderId="0" xfId="2" applyNumberFormat="1" applyFont="1"/>
    <xf numFmtId="0" fontId="3" fillId="0" borderId="3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right" vertical="center"/>
    </xf>
    <xf numFmtId="166" fontId="2" fillId="0" borderId="3" xfId="1" applyNumberFormat="1" applyFont="1" applyBorder="1" applyAlignment="1">
      <alignment horizontal="right" vertical="center"/>
    </xf>
    <xf numFmtId="0" fontId="3" fillId="0" borderId="3" xfId="2" applyFont="1" applyBorder="1" applyAlignment="1">
      <alignment horizontal="right" vertical="center"/>
    </xf>
    <xf numFmtId="166" fontId="3" fillId="0" borderId="3" xfId="1" applyNumberFormat="1" applyFont="1" applyBorder="1" applyAlignment="1">
      <alignment horizontal="right" vertical="center"/>
    </xf>
    <xf numFmtId="0" fontId="3" fillId="0" borderId="0" xfId="2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3" fillId="0" borderId="0" xfId="2" applyNumberFormat="1" applyFont="1" applyAlignment="1">
      <alignment horizontal="right" vertical="center"/>
    </xf>
    <xf numFmtId="165" fontId="3" fillId="0" borderId="3" xfId="2" applyNumberFormat="1" applyFont="1" applyBorder="1" applyAlignment="1">
      <alignment horizontal="center" vertical="center"/>
    </xf>
    <xf numFmtId="165" fontId="7" fillId="0" borderId="0" xfId="3" applyNumberFormat="1" applyFont="1" applyBorder="1" applyAlignment="1">
      <alignment vertical="center"/>
    </xf>
    <xf numFmtId="165" fontId="2" fillId="0" borderId="1" xfId="3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166" fontId="3" fillId="0" borderId="3" xfId="1" applyNumberFormat="1" applyFont="1" applyBorder="1" applyAlignment="1">
      <alignment horizontal="center" vertical="center"/>
    </xf>
    <xf numFmtId="165" fontId="2" fillId="0" borderId="1" xfId="3" applyNumberFormat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5" fontId="2" fillId="0" borderId="1" xfId="3" applyNumberFormat="1" applyFont="1" applyBorder="1" applyAlignment="1">
      <alignment vertical="center"/>
    </xf>
    <xf numFmtId="165" fontId="2" fillId="0" borderId="4" xfId="3" applyNumberFormat="1" applyFont="1" applyBorder="1" applyAlignment="1">
      <alignment vertical="center"/>
    </xf>
    <xf numFmtId="165" fontId="3" fillId="0" borderId="1" xfId="3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165" fontId="3" fillId="0" borderId="4" xfId="3" applyNumberFormat="1" applyFont="1" applyBorder="1" applyAlignment="1">
      <alignment horizontal="left" vertical="center"/>
    </xf>
  </cellXfs>
  <cellStyles count="4">
    <cellStyle name="Comma" xfId="1" builtinId="3"/>
    <cellStyle name="Comma 6" xfId="3" xr:uid="{00000000-0005-0000-0000-000001000000}"/>
    <cellStyle name="Normal" xfId="0" builtinId="0"/>
    <cellStyle name="Normal 2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"/>
  <sheetViews>
    <sheetView tabSelected="1" workbookViewId="0">
      <selection activeCell="B4" sqref="B4"/>
    </sheetView>
  </sheetViews>
  <sheetFormatPr defaultRowHeight="15"/>
  <cols>
    <col min="1" max="1" width="48.28515625" bestFit="1" customWidth="1"/>
    <col min="2" max="4" width="27.7109375" bestFit="1" customWidth="1"/>
    <col min="5" max="5" width="28.140625" customWidth="1"/>
    <col min="6" max="6" width="31.28515625" bestFit="1" customWidth="1"/>
    <col min="7" max="13" width="27.7109375" bestFit="1" customWidth="1"/>
    <col min="14" max="14" width="23.85546875" bestFit="1" customWidth="1"/>
  </cols>
  <sheetData>
    <row r="1" spans="1:43" s="5" customFormat="1" ht="41.25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4"/>
      <c r="L1" s="6"/>
      <c r="O1" s="6"/>
      <c r="Q1" s="7"/>
    </row>
    <row r="2" spans="1:43" s="5" customFormat="1" ht="41.25" customHeight="1">
      <c r="A2" s="8" t="s">
        <v>1</v>
      </c>
      <c r="B2" s="9">
        <v>45748</v>
      </c>
      <c r="C2" s="9">
        <v>45778</v>
      </c>
      <c r="D2" s="9">
        <v>45809</v>
      </c>
      <c r="E2" s="9">
        <v>45839</v>
      </c>
      <c r="F2" s="9">
        <v>45870</v>
      </c>
      <c r="G2" s="9">
        <v>45901</v>
      </c>
      <c r="H2" s="9">
        <v>45931</v>
      </c>
      <c r="I2" s="9">
        <v>45962</v>
      </c>
      <c r="J2" s="9">
        <v>45992</v>
      </c>
      <c r="K2" s="9">
        <v>46023</v>
      </c>
      <c r="L2" s="9">
        <v>46054</v>
      </c>
      <c r="M2" s="9">
        <v>46082</v>
      </c>
      <c r="N2" s="9" t="s">
        <v>2</v>
      </c>
      <c r="P2" s="6"/>
    </row>
    <row r="3" spans="1:43" s="7" customFormat="1" ht="41.25" customHeight="1">
      <c r="A3" s="10" t="s">
        <v>3</v>
      </c>
      <c r="B3" s="11">
        <v>450</v>
      </c>
      <c r="C3" s="11">
        <v>442</v>
      </c>
      <c r="D3" s="11">
        <v>449</v>
      </c>
      <c r="E3" s="11">
        <v>444</v>
      </c>
      <c r="F3" s="12">
        <v>462</v>
      </c>
      <c r="G3" s="12">
        <v>456</v>
      </c>
      <c r="H3" s="12">
        <v>451</v>
      </c>
      <c r="I3" s="12">
        <v>440</v>
      </c>
      <c r="J3" s="12">
        <v>453</v>
      </c>
      <c r="K3" s="12">
        <v>449</v>
      </c>
      <c r="L3" s="12">
        <v>438</v>
      </c>
      <c r="M3" s="12">
        <v>450</v>
      </c>
      <c r="N3" s="12">
        <f>+M3-L3</f>
        <v>12</v>
      </c>
      <c r="O3" s="5"/>
      <c r="P3" s="6"/>
      <c r="Q3" s="5"/>
      <c r="S3" s="5"/>
      <c r="T3" s="13"/>
      <c r="U3" s="14"/>
      <c r="V3" s="15"/>
      <c r="W3" s="5"/>
      <c r="X3" s="14"/>
      <c r="Y3" s="14"/>
      <c r="Z3" s="14"/>
      <c r="AB3" s="5"/>
      <c r="AC3" s="16"/>
      <c r="AD3" s="5"/>
      <c r="AE3" s="5"/>
      <c r="AF3" s="5"/>
      <c r="AG3" s="5"/>
    </row>
    <row r="4" spans="1:43" s="7" customFormat="1" ht="41.25" customHeight="1">
      <c r="A4" s="10" t="s">
        <v>4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2">
        <f t="shared" ref="N4:N6" si="0">+M4-L4</f>
        <v>0</v>
      </c>
      <c r="O4" s="5"/>
      <c r="P4" s="6"/>
      <c r="Q4" s="5"/>
      <c r="S4" s="5"/>
      <c r="T4" s="13"/>
      <c r="U4" s="14"/>
      <c r="V4" s="15"/>
      <c r="W4" s="5"/>
      <c r="X4" s="14"/>
      <c r="Y4" s="14"/>
      <c r="Z4" s="14"/>
      <c r="AB4" s="5"/>
      <c r="AC4" s="16"/>
      <c r="AD4" s="5"/>
      <c r="AE4" s="5"/>
      <c r="AF4" s="5"/>
      <c r="AG4" s="5"/>
    </row>
    <row r="5" spans="1:43" s="7" customFormat="1" ht="41.25" customHeight="1">
      <c r="A5" s="10" t="s">
        <v>5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2">
        <f t="shared" si="0"/>
        <v>0</v>
      </c>
      <c r="O5" s="18"/>
      <c r="P5" s="5"/>
      <c r="R5" s="13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43" s="5" customFormat="1" ht="41.25" customHeight="1">
      <c r="A6" s="10" t="s">
        <v>6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2">
        <f t="shared" si="0"/>
        <v>0</v>
      </c>
      <c r="Q6" s="7"/>
      <c r="R6" s="13"/>
    </row>
    <row r="7" spans="1:43" s="7" customFormat="1" ht="42" customHeight="1">
      <c r="A7" s="21" t="s">
        <v>7</v>
      </c>
      <c r="B7" s="22">
        <f>+B5+B6</f>
        <v>0</v>
      </c>
      <c r="C7" s="22">
        <f t="shared" ref="C7:I7" si="1">+C5+C6</f>
        <v>0</v>
      </c>
      <c r="D7" s="22">
        <f t="shared" si="1"/>
        <v>0</v>
      </c>
      <c r="E7" s="22">
        <f t="shared" si="1"/>
        <v>0</v>
      </c>
      <c r="F7" s="22">
        <f t="shared" si="1"/>
        <v>0</v>
      </c>
      <c r="G7" s="22">
        <f t="shared" si="1"/>
        <v>0</v>
      </c>
      <c r="H7" s="22">
        <f t="shared" si="1"/>
        <v>0</v>
      </c>
      <c r="I7" s="22">
        <f t="shared" si="1"/>
        <v>0</v>
      </c>
      <c r="J7" s="22">
        <f>+J5+J6</f>
        <v>0</v>
      </c>
      <c r="K7" s="22">
        <f>+K5+K6</f>
        <v>0</v>
      </c>
      <c r="L7" s="22">
        <f>+L5+L6</f>
        <v>0</v>
      </c>
      <c r="M7" s="22">
        <f>+M5+M6</f>
        <v>0</v>
      </c>
      <c r="N7" s="22">
        <f>+N5+N6</f>
        <v>0</v>
      </c>
      <c r="O7" s="23"/>
      <c r="P7" s="6"/>
      <c r="Q7" s="6"/>
      <c r="R7" s="5"/>
      <c r="S7" s="5"/>
      <c r="T7" s="5"/>
      <c r="U7" s="5"/>
      <c r="V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spans="1:43" s="5" customFormat="1" ht="32.25">
      <c r="A8" s="1"/>
      <c r="B8" s="1"/>
      <c r="C8" s="1"/>
      <c r="D8" s="24"/>
      <c r="E8" s="1"/>
      <c r="F8" s="1"/>
      <c r="G8" s="24"/>
      <c r="H8" s="24"/>
      <c r="I8" s="24"/>
      <c r="L8" s="23"/>
      <c r="O8" s="6"/>
      <c r="P8" s="6"/>
      <c r="V8" s="7"/>
      <c r="W8" s="7"/>
    </row>
    <row r="11" spans="1:43" ht="32.25">
      <c r="A11" s="44" t="s">
        <v>8</v>
      </c>
      <c r="B11" s="39"/>
      <c r="C11" s="25" t="s">
        <v>9</v>
      </c>
      <c r="D11" s="8" t="s">
        <v>10</v>
      </c>
      <c r="E11" s="8" t="s">
        <v>11</v>
      </c>
    </row>
    <row r="12" spans="1:43" ht="32.25">
      <c r="A12" s="45" t="s">
        <v>12</v>
      </c>
      <c r="B12" s="46"/>
      <c r="C12" s="26">
        <v>438</v>
      </c>
      <c r="D12" s="27">
        <v>15009568</v>
      </c>
      <c r="E12" s="27">
        <v>12782461</v>
      </c>
    </row>
    <row r="13" spans="1:43" ht="32.25">
      <c r="A13" s="45" t="s">
        <v>13</v>
      </c>
      <c r="B13" s="46"/>
      <c r="C13" s="26">
        <v>-21</v>
      </c>
      <c r="D13" s="27">
        <v>-196116</v>
      </c>
      <c r="E13" s="27">
        <v>-159113</v>
      </c>
    </row>
    <row r="14" spans="1:43" ht="32.25">
      <c r="A14" s="45" t="s">
        <v>14</v>
      </c>
      <c r="B14" s="46"/>
      <c r="C14" s="26">
        <v>33</v>
      </c>
      <c r="D14" s="27">
        <v>492503</v>
      </c>
      <c r="E14" s="27">
        <v>432690</v>
      </c>
    </row>
    <row r="15" spans="1:43" ht="32.25">
      <c r="A15" s="45" t="s">
        <v>15</v>
      </c>
      <c r="B15" s="46"/>
      <c r="C15" s="26"/>
      <c r="D15" s="27">
        <v>0</v>
      </c>
      <c r="E15" s="27">
        <v>652587.60000000009</v>
      </c>
    </row>
    <row r="16" spans="1:43" ht="32.25">
      <c r="A16" s="45" t="s">
        <v>16</v>
      </c>
      <c r="B16" s="39"/>
      <c r="C16" s="26"/>
      <c r="D16" s="27">
        <v>-95090</v>
      </c>
      <c r="E16" s="27">
        <v>171435.39999999991</v>
      </c>
    </row>
    <row r="17" spans="1:6" ht="32.25">
      <c r="A17" s="44" t="s">
        <v>17</v>
      </c>
      <c r="B17" s="39"/>
      <c r="C17" s="28">
        <f>SUM(C12:C16)</f>
        <v>450</v>
      </c>
      <c r="D17" s="29">
        <f>SUM(D12:D16)</f>
        <v>15210865</v>
      </c>
      <c r="E17" s="29">
        <f>SUM(E12:E16)</f>
        <v>13880061</v>
      </c>
    </row>
    <row r="18" spans="1:6" ht="32.25">
      <c r="A18" s="30"/>
      <c r="B18" s="31"/>
      <c r="C18" s="32"/>
      <c r="D18" s="32"/>
      <c r="E18" s="32"/>
    </row>
    <row r="19" spans="1:6" ht="32.25">
      <c r="A19" s="42" t="s">
        <v>18</v>
      </c>
      <c r="B19" s="47"/>
      <c r="C19" s="33" t="s">
        <v>19</v>
      </c>
      <c r="D19" s="33" t="s">
        <v>13</v>
      </c>
      <c r="E19" s="8" t="s">
        <v>14</v>
      </c>
      <c r="F19" s="20" t="s">
        <v>20</v>
      </c>
    </row>
    <row r="20" spans="1:6" ht="32.25">
      <c r="A20" s="38" t="s">
        <v>21</v>
      </c>
      <c r="B20" s="39"/>
      <c r="C20" s="20">
        <v>0</v>
      </c>
      <c r="D20" s="20">
        <v>0</v>
      </c>
      <c r="E20" s="20">
        <v>0</v>
      </c>
      <c r="F20" s="20">
        <v>0</v>
      </c>
    </row>
    <row r="21" spans="1:6" ht="32.25">
      <c r="A21" s="38" t="s">
        <v>22</v>
      </c>
      <c r="B21" s="39"/>
      <c r="C21" s="20">
        <v>0</v>
      </c>
      <c r="D21" s="20">
        <v>0</v>
      </c>
      <c r="E21" s="20">
        <v>0</v>
      </c>
      <c r="F21" s="20">
        <v>0</v>
      </c>
    </row>
    <row r="22" spans="1:6" ht="32.25">
      <c r="A22" s="38" t="s">
        <v>23</v>
      </c>
      <c r="B22" s="39"/>
      <c r="C22" s="20">
        <v>0</v>
      </c>
      <c r="D22" s="20">
        <v>0</v>
      </c>
      <c r="E22" s="20">
        <v>0</v>
      </c>
      <c r="F22" s="20">
        <v>0</v>
      </c>
    </row>
    <row r="23" spans="1:6" ht="32.25">
      <c r="A23" s="38" t="s">
        <v>24</v>
      </c>
      <c r="B23" s="39"/>
      <c r="C23" s="20">
        <v>0</v>
      </c>
      <c r="D23" s="20">
        <v>0</v>
      </c>
      <c r="E23" s="20">
        <v>0</v>
      </c>
      <c r="F23" s="20">
        <v>0</v>
      </c>
    </row>
    <row r="24" spans="1:6" ht="32.25">
      <c r="A24" s="38" t="s">
        <v>25</v>
      </c>
      <c r="B24" s="39"/>
      <c r="C24" s="20">
        <v>0</v>
      </c>
      <c r="D24" s="20">
        <v>0</v>
      </c>
      <c r="E24" s="20">
        <v>0</v>
      </c>
      <c r="F24" s="20">
        <v>0</v>
      </c>
    </row>
    <row r="25" spans="1:6" ht="32.25">
      <c r="A25" s="38" t="s">
        <v>26</v>
      </c>
      <c r="B25" s="39"/>
      <c r="C25" s="20">
        <v>0</v>
      </c>
      <c r="D25" s="20">
        <v>0</v>
      </c>
      <c r="E25" s="20">
        <v>0</v>
      </c>
      <c r="F25" s="20">
        <v>0</v>
      </c>
    </row>
    <row r="26" spans="1:6" ht="32.25">
      <c r="A26" s="40" t="s">
        <v>27</v>
      </c>
      <c r="B26" s="41"/>
      <c r="C26" s="20">
        <v>0</v>
      </c>
      <c r="D26" s="20">
        <v>0</v>
      </c>
      <c r="E26" s="20">
        <v>0</v>
      </c>
      <c r="F26" s="20">
        <v>0</v>
      </c>
    </row>
    <row r="27" spans="1:6" ht="32.25">
      <c r="A27" s="40" t="s">
        <v>28</v>
      </c>
      <c r="B27" s="41"/>
      <c r="C27" s="20">
        <v>0</v>
      </c>
      <c r="D27" s="20">
        <v>0</v>
      </c>
      <c r="E27" s="20">
        <v>0</v>
      </c>
      <c r="F27" s="20">
        <v>0</v>
      </c>
    </row>
    <row r="28" spans="1:6" ht="32.25">
      <c r="A28" s="35" t="s">
        <v>29</v>
      </c>
      <c r="B28" s="36"/>
      <c r="C28" s="20">
        <v>0</v>
      </c>
      <c r="D28" s="20">
        <v>0</v>
      </c>
      <c r="E28" s="20">
        <v>0</v>
      </c>
      <c r="F28" s="20">
        <v>0</v>
      </c>
    </row>
    <row r="29" spans="1:6" ht="32.25">
      <c r="A29" s="42" t="s">
        <v>30</v>
      </c>
      <c r="B29" s="43"/>
      <c r="C29" s="20">
        <v>0</v>
      </c>
      <c r="D29" s="37">
        <f>SUM(D20:D28)</f>
        <v>0</v>
      </c>
      <c r="E29" s="37">
        <f>SUM(E20:E28)</f>
        <v>0</v>
      </c>
      <c r="F29" s="20">
        <v>0</v>
      </c>
    </row>
    <row r="30" spans="1:6" ht="27.75">
      <c r="A30" s="7"/>
      <c r="B30" s="7"/>
      <c r="C30" s="7"/>
      <c r="D30" s="7"/>
      <c r="E30" s="34"/>
    </row>
  </sheetData>
  <mergeCells count="17">
    <mergeCell ref="A23:B23"/>
    <mergeCell ref="A11:B11"/>
    <mergeCell ref="A12:B12"/>
    <mergeCell ref="A13:B13"/>
    <mergeCell ref="A14:B14"/>
    <mergeCell ref="A15:B15"/>
    <mergeCell ref="A16:B16"/>
    <mergeCell ref="A17:B17"/>
    <mergeCell ref="A19:B19"/>
    <mergeCell ref="A20:B20"/>
    <mergeCell ref="A21:B21"/>
    <mergeCell ref="A22:B22"/>
    <mergeCell ref="A24:B24"/>
    <mergeCell ref="A25:B25"/>
    <mergeCell ref="A26:B26"/>
    <mergeCell ref="A27:B27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Pravin G [SUKI Software]</cp:lastModifiedBy>
  <cp:revision/>
  <dcterms:created xsi:type="dcterms:W3CDTF">2015-06-05T18:17:20Z</dcterms:created>
  <dcterms:modified xsi:type="dcterms:W3CDTF">2026-04-27T12:43:33Z</dcterms:modified>
  <cp:category/>
  <cp:contentStatus/>
</cp:coreProperties>
</file>