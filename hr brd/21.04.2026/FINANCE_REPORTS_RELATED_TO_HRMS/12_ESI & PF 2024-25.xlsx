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30" windowHeight="7035" activeTab="1"/>
  </bookViews>
  <sheets>
    <sheet name="ESI" sheetId="2" r:id="rId1"/>
    <sheet name="PF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" l="1"/>
  <c r="B8" i="2" s="1"/>
  <c r="B9" i="2" s="1"/>
  <c r="B10" i="2" s="1"/>
  <c r="B11" i="2" s="1"/>
  <c r="B12" i="2" s="1"/>
  <c r="B13" i="2" s="1"/>
  <c r="B14" i="2" s="1"/>
  <c r="B15" i="2" s="1"/>
  <c r="B16" i="2" s="1"/>
  <c r="B6" i="2"/>
  <c r="F18" i="4" l="1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H18" i="4" l="1"/>
  <c r="L16" i="4"/>
  <c r="H27" i="4" l="1"/>
  <c r="H29" i="4" s="1"/>
  <c r="L18" i="4" l="1"/>
  <c r="H19" i="4"/>
  <c r="H21" i="4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8" i="4" s="1"/>
  <c r="L10" i="4"/>
  <c r="L8" i="4"/>
  <c r="L14" i="4"/>
  <c r="L13" i="4"/>
  <c r="L12" i="4"/>
  <c r="L11" i="4"/>
  <c r="L9" i="4"/>
  <c r="L7" i="4"/>
  <c r="L6" i="4"/>
  <c r="L5" i="4"/>
  <c r="E16" i="2" l="1"/>
  <c r="E15" i="2"/>
  <c r="E14" i="2"/>
  <c r="E13" i="2"/>
  <c r="E12" i="2"/>
  <c r="E11" i="2"/>
  <c r="E10" i="2"/>
  <c r="E9" i="2"/>
  <c r="E8" i="2"/>
  <c r="E7" i="2"/>
  <c r="E6" i="2"/>
  <c r="E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K16" i="2" l="1"/>
  <c r="K15" i="2"/>
  <c r="K13" i="2"/>
  <c r="K11" i="2"/>
  <c r="K8" i="2"/>
  <c r="K6" i="2"/>
  <c r="K5" i="2"/>
  <c r="K10" i="2" l="1"/>
  <c r="K7" i="2"/>
  <c r="K9" i="2"/>
  <c r="K12" i="2"/>
  <c r="K14" i="2"/>
  <c r="F19" i="4" l="1"/>
  <c r="F21" i="4" s="1"/>
  <c r="L15" i="4"/>
  <c r="L19" i="4" s="1"/>
</calcChain>
</file>

<file path=xl/sharedStrings.xml><?xml version="1.0" encoding="utf-8"?>
<sst xmlns="http://schemas.openxmlformats.org/spreadsheetml/2006/main" count="49" uniqueCount="26">
  <si>
    <t>S.No</t>
  </si>
  <si>
    <t>Month</t>
  </si>
  <si>
    <t>Employer Contribution</t>
  </si>
  <si>
    <t>Employee Contribution</t>
  </si>
  <si>
    <t>Total</t>
  </si>
  <si>
    <t>Payment Due Date</t>
  </si>
  <si>
    <t>Paid Amount</t>
  </si>
  <si>
    <t>Paid Date</t>
  </si>
  <si>
    <t>Diff.</t>
  </si>
  <si>
    <t>Type</t>
  </si>
  <si>
    <t>Salary</t>
  </si>
  <si>
    <t>Remarks</t>
  </si>
  <si>
    <t>Details of EPF Payable for the FY_2023-24</t>
  </si>
  <si>
    <t>Details of ESI Payable for the FY_2023-24</t>
  </si>
  <si>
    <t>Opening Balance Paid</t>
  </si>
  <si>
    <t>Salary, Arrears(CEO)</t>
  </si>
  <si>
    <t>Salary, Arears</t>
  </si>
  <si>
    <t>Aug month Liability</t>
  </si>
  <si>
    <t>Round off</t>
  </si>
  <si>
    <t>Paid</t>
  </si>
  <si>
    <t>As per Challan - Paid  Amount</t>
  </si>
  <si>
    <t xml:space="preserve">We have paid opening balance </t>
  </si>
  <si>
    <t xml:space="preserve"> </t>
  </si>
  <si>
    <t>Challan No.</t>
  </si>
  <si>
    <t>Date</t>
  </si>
  <si>
    <t>Challa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</si>
</sst>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#,##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/>
    <xf numFmtId="14" fontId="0" fillId="0" borderId="1" xfId="1" applyNumberFormat="1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7" fontId="0" fillId="0" borderId="1" xfId="0" applyNumberFormat="1" applyFont="1" applyFill="1" applyBorder="1" applyAlignment="1">
      <alignment vertical="center"/>
    </xf>
    <xf numFmtId="4" fontId="0" fillId="0" borderId="1" xfId="0" applyNumberFormat="1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2" fillId="0" borderId="1" xfId="1" applyFont="1" applyFill="1" applyBorder="1" applyAlignment="1">
      <alignment vertical="center"/>
    </xf>
    <xf numFmtId="43" fontId="0" fillId="0" borderId="0" xfId="1" applyFont="1"/>
    <xf numFmtId="43" fontId="0" fillId="0" borderId="0" xfId="0" applyNumberFormat="1"/>
    <xf numFmtId="43" fontId="0" fillId="0" borderId="1" xfId="1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1" fillId="0" borderId="1" xfId="0" applyFont="1" applyBorder="1"/>
    <xf numFmtId="43" fontId="0" fillId="0" borderId="1" xfId="1" applyFont="1" applyBorder="1"/>
    <xf numFmtId="43" fontId="1" fillId="0" borderId="1" xfId="1" applyFont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164" fontId="1" fillId="2" borderId="1" xfId="0" applyNumberFormat="1" applyFont="1" applyFill="1" applyBorder="1"/>
    <xf numFmtId="43" fontId="1" fillId="2" borderId="1" xfId="1" applyFont="1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0" fontId="3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topLeftCell="A4" workbookViewId="0">
      <selection activeCell="L4" sqref="L4"/>
    </sheetView>
  </sheetViews>
  <sheetFormatPr defaultRowHeight="15" x14ac:dyDescent="0.25"/>
  <cols>
    <col min="1" max="1" width="6.85546875" style="2" customWidth="1"/>
    <col min="2" max="2" width="12.140625" customWidth="1"/>
    <col min="3" max="3" width="17.42578125" customWidth="1"/>
    <col min="4" max="4" width="12.28515625" bestFit="1" customWidth="1"/>
    <col min="5" max="5" width="12.5703125" customWidth="1"/>
    <col min="6" max="6" width="13.42578125" customWidth="1"/>
    <col min="7" max="7" width="15.85546875" customWidth="1"/>
    <col min="8" max="10" width="16.28515625" customWidth="1"/>
    <col min="11" max="11" width="15.85546875" customWidth="1"/>
    <col min="12" max="12" width="21.7109375" bestFit="1" customWidth="1"/>
  </cols>
  <sheetData>
    <row r="2" spans="1:13" ht="15.75" x14ac:dyDescent="0.25">
      <c r="A2" s="34" t="s">
        <v>13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4" spans="1:13" ht="3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23</v>
      </c>
      <c r="J4" s="1" t="s">
        <v>24</v>
      </c>
      <c r="K4" s="1" t="s">
        <v>8</v>
      </c>
      <c r="L4" s="1" t="s">
        <v>11</v>
      </c>
    </row>
    <row r="5" spans="1:13" ht="22.5" customHeight="1" x14ac:dyDescent="0.25">
      <c r="A5" s="10">
        <v>1</v>
      </c>
      <c r="B5" s="11">
        <v>45383</v>
      </c>
      <c r="C5" s="12">
        <v>0</v>
      </c>
      <c r="D5" s="12">
        <v>0</v>
      </c>
      <c r="E5" s="12">
        <f>+C5+D5</f>
        <v>0</v>
      </c>
      <c r="F5" s="13">
        <v>45061</v>
      </c>
      <c r="G5" s="12">
        <v>0</v>
      </c>
      <c r="H5" s="13">
        <v>45058</v>
      </c>
      <c r="I5" s="13"/>
      <c r="J5" s="13"/>
      <c r="K5" s="15">
        <f t="shared" ref="K5:K16" si="0">+E5-G5</f>
        <v>0</v>
      </c>
      <c r="L5" s="12"/>
    </row>
    <row r="6" spans="1:13" ht="22.5" customHeight="1" x14ac:dyDescent="0.25">
      <c r="A6" s="10">
        <f>+A5+1</f>
        <v>2</v>
      </c>
      <c r="B6" s="11">
        <f>+B5+31</f>
        <v>45414</v>
      </c>
      <c r="C6" s="12">
        <v>0</v>
      </c>
      <c r="D6" s="12">
        <v>0</v>
      </c>
      <c r="E6" s="12">
        <f t="shared" ref="E6:E16" si="1">+C6+D6</f>
        <v>0</v>
      </c>
      <c r="F6" s="13">
        <v>45092</v>
      </c>
      <c r="G6" s="12">
        <v>0</v>
      </c>
      <c r="H6" s="13">
        <v>45091</v>
      </c>
      <c r="I6" s="13"/>
      <c r="J6" s="13"/>
      <c r="K6" s="15">
        <f t="shared" si="0"/>
        <v>0</v>
      </c>
      <c r="L6" s="12"/>
    </row>
    <row r="7" spans="1:13" ht="22.5" customHeight="1" x14ac:dyDescent="0.25">
      <c r="A7" s="10">
        <f t="shared" ref="A7:A16" si="2">+A6+1</f>
        <v>3</v>
      </c>
      <c r="B7" s="11">
        <f t="shared" ref="B7:B16" si="3">+B6+31</f>
        <v>45445</v>
      </c>
      <c r="C7" s="12">
        <v>0</v>
      </c>
      <c r="D7" s="12">
        <v>0</v>
      </c>
      <c r="E7" s="12">
        <f t="shared" si="1"/>
        <v>0</v>
      </c>
      <c r="F7" s="13">
        <v>45122</v>
      </c>
      <c r="G7" s="12">
        <v>0</v>
      </c>
      <c r="H7" s="13">
        <v>45120</v>
      </c>
      <c r="I7" s="13"/>
      <c r="J7" s="13"/>
      <c r="K7" s="15">
        <f t="shared" si="0"/>
        <v>0</v>
      </c>
      <c r="L7" s="12"/>
    </row>
    <row r="8" spans="1:13" ht="22.5" customHeight="1" x14ac:dyDescent="0.25">
      <c r="A8" s="10">
        <f t="shared" si="2"/>
        <v>4</v>
      </c>
      <c r="B8" s="11">
        <f t="shared" si="3"/>
        <v>45476</v>
      </c>
      <c r="C8" s="12">
        <v>0</v>
      </c>
      <c r="D8" s="12">
        <v>0</v>
      </c>
      <c r="E8" s="12">
        <f t="shared" si="1"/>
        <v>0</v>
      </c>
      <c r="F8" s="13">
        <v>45153</v>
      </c>
      <c r="G8" s="12">
        <v>0</v>
      </c>
      <c r="H8" s="13">
        <v>45149</v>
      </c>
      <c r="I8" s="13"/>
      <c r="J8" s="13"/>
      <c r="K8" s="15">
        <f t="shared" si="0"/>
        <v>0</v>
      </c>
      <c r="L8" s="12"/>
    </row>
    <row r="9" spans="1:13" ht="22.5" customHeight="1" x14ac:dyDescent="0.25">
      <c r="A9" s="10">
        <f t="shared" si="2"/>
        <v>5</v>
      </c>
      <c r="B9" s="11">
        <f t="shared" si="3"/>
        <v>45507</v>
      </c>
      <c r="C9" s="12">
        <v>0</v>
      </c>
      <c r="D9" s="12">
        <v>0</v>
      </c>
      <c r="E9" s="12">
        <f t="shared" si="1"/>
        <v>0</v>
      </c>
      <c r="F9" s="13">
        <v>45184</v>
      </c>
      <c r="G9" s="12">
        <v>0</v>
      </c>
      <c r="H9" s="13">
        <v>45180</v>
      </c>
      <c r="I9" s="13"/>
      <c r="J9" s="13"/>
      <c r="K9" s="15">
        <f t="shared" si="0"/>
        <v>0</v>
      </c>
      <c r="L9" s="12"/>
    </row>
    <row r="10" spans="1:13" ht="22.5" customHeight="1" x14ac:dyDescent="0.25">
      <c r="A10" s="10">
        <f t="shared" si="2"/>
        <v>6</v>
      </c>
      <c r="B10" s="11">
        <f t="shared" si="3"/>
        <v>45538</v>
      </c>
      <c r="C10" s="12">
        <v>0</v>
      </c>
      <c r="D10" s="12">
        <v>0</v>
      </c>
      <c r="E10" s="12">
        <f t="shared" si="1"/>
        <v>0</v>
      </c>
      <c r="F10" s="13">
        <v>45214</v>
      </c>
      <c r="G10" s="12">
        <v>0</v>
      </c>
      <c r="H10" s="13">
        <v>45210</v>
      </c>
      <c r="I10" s="13"/>
      <c r="J10" s="13"/>
      <c r="K10" s="15">
        <f t="shared" si="0"/>
        <v>0</v>
      </c>
      <c r="L10" s="12"/>
    </row>
    <row r="11" spans="1:13" ht="22.5" customHeight="1" x14ac:dyDescent="0.25">
      <c r="A11" s="10">
        <f t="shared" si="2"/>
        <v>7</v>
      </c>
      <c r="B11" s="11">
        <f t="shared" si="3"/>
        <v>45569</v>
      </c>
      <c r="C11" s="12">
        <v>0</v>
      </c>
      <c r="D11" s="12">
        <v>0</v>
      </c>
      <c r="E11" s="12">
        <f t="shared" si="1"/>
        <v>0</v>
      </c>
      <c r="F11" s="13">
        <v>45245</v>
      </c>
      <c r="G11" s="12">
        <v>0</v>
      </c>
      <c r="H11" s="13">
        <v>45245</v>
      </c>
      <c r="I11" s="13"/>
      <c r="J11" s="13"/>
      <c r="K11" s="15">
        <f t="shared" si="0"/>
        <v>0</v>
      </c>
      <c r="L11" s="12"/>
    </row>
    <row r="12" spans="1:13" ht="22.5" customHeight="1" x14ac:dyDescent="0.25">
      <c r="A12" s="10">
        <f t="shared" si="2"/>
        <v>8</v>
      </c>
      <c r="B12" s="11">
        <f t="shared" si="3"/>
        <v>45600</v>
      </c>
      <c r="C12" s="12">
        <v>0</v>
      </c>
      <c r="D12" s="12">
        <v>0</v>
      </c>
      <c r="E12" s="12">
        <f t="shared" si="1"/>
        <v>0</v>
      </c>
      <c r="F12" s="13">
        <v>45275</v>
      </c>
      <c r="G12" s="12">
        <v>0</v>
      </c>
      <c r="H12" s="13">
        <v>45271</v>
      </c>
      <c r="I12" s="13"/>
      <c r="J12" s="13"/>
      <c r="K12" s="15">
        <f t="shared" si="0"/>
        <v>0</v>
      </c>
      <c r="L12" s="12"/>
    </row>
    <row r="13" spans="1:13" ht="22.5" customHeight="1" x14ac:dyDescent="0.25">
      <c r="A13" s="10">
        <f t="shared" si="2"/>
        <v>9</v>
      </c>
      <c r="B13" s="11">
        <f t="shared" si="3"/>
        <v>45631</v>
      </c>
      <c r="C13" s="12">
        <v>0</v>
      </c>
      <c r="D13" s="12">
        <v>0</v>
      </c>
      <c r="E13" s="12">
        <f t="shared" si="1"/>
        <v>0</v>
      </c>
      <c r="F13" s="13">
        <v>45306</v>
      </c>
      <c r="G13" s="12">
        <v>0</v>
      </c>
      <c r="H13" s="13">
        <v>45303</v>
      </c>
      <c r="I13" s="13"/>
      <c r="J13" s="13"/>
      <c r="K13" s="15">
        <f t="shared" si="0"/>
        <v>0</v>
      </c>
      <c r="L13" s="12"/>
    </row>
    <row r="14" spans="1:13" ht="22.5" customHeight="1" x14ac:dyDescent="0.25">
      <c r="A14" s="10">
        <f t="shared" si="2"/>
        <v>10</v>
      </c>
      <c r="B14" s="11">
        <f t="shared" si="3"/>
        <v>45662</v>
      </c>
      <c r="C14" s="12">
        <v>0</v>
      </c>
      <c r="D14" s="12">
        <v>0</v>
      </c>
      <c r="E14" s="12">
        <f t="shared" si="1"/>
        <v>0</v>
      </c>
      <c r="F14" s="13">
        <v>45337</v>
      </c>
      <c r="G14" s="12">
        <v>0</v>
      </c>
      <c r="H14" s="13">
        <v>45335</v>
      </c>
      <c r="I14" s="13"/>
      <c r="J14" s="13"/>
      <c r="K14" s="16">
        <f t="shared" si="0"/>
        <v>0</v>
      </c>
      <c r="L14" s="14"/>
    </row>
    <row r="15" spans="1:13" ht="22.5" customHeight="1" x14ac:dyDescent="0.25">
      <c r="A15" s="10">
        <f t="shared" si="2"/>
        <v>11</v>
      </c>
      <c r="B15" s="11">
        <f t="shared" si="3"/>
        <v>45693</v>
      </c>
      <c r="C15" s="12">
        <v>0</v>
      </c>
      <c r="D15" s="12">
        <v>0</v>
      </c>
      <c r="E15" s="12">
        <f t="shared" si="1"/>
        <v>0</v>
      </c>
      <c r="F15" s="13">
        <v>45366</v>
      </c>
      <c r="G15" s="12">
        <v>0</v>
      </c>
      <c r="H15" s="13">
        <v>45363</v>
      </c>
      <c r="I15" s="13"/>
      <c r="J15" s="13"/>
      <c r="K15" s="16">
        <f t="shared" si="0"/>
        <v>0</v>
      </c>
      <c r="L15" s="14"/>
    </row>
    <row r="16" spans="1:13" ht="22.5" customHeight="1" x14ac:dyDescent="0.25">
      <c r="A16" s="10">
        <f t="shared" si="2"/>
        <v>12</v>
      </c>
      <c r="B16" s="11">
        <f t="shared" si="3"/>
        <v>45724</v>
      </c>
      <c r="C16" s="12">
        <v>0</v>
      </c>
      <c r="D16" s="12">
        <v>0</v>
      </c>
      <c r="E16" s="12">
        <f t="shared" si="1"/>
        <v>0</v>
      </c>
      <c r="F16" s="13">
        <v>45397</v>
      </c>
      <c r="G16" s="12">
        <v>0</v>
      </c>
      <c r="H16" s="13">
        <v>45397</v>
      </c>
      <c r="I16" s="13"/>
      <c r="J16" s="13"/>
      <c r="K16" s="16">
        <f t="shared" si="0"/>
        <v>0</v>
      </c>
      <c r="L16" s="14"/>
    </row>
  </sheetData>
  <mergeCells count="1">
    <mergeCell ref="A2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1"/>
  <sheetViews>
    <sheetView tabSelected="1" topLeftCell="A10" workbookViewId="0">
      <selection activeCell="E19" sqref="E19"/>
    </sheetView>
  </sheetViews>
  <sheetFormatPr defaultRowHeight="15" x14ac:dyDescent="0.25"/>
  <cols>
    <col min="1" max="1" width="5.140625" style="2" bestFit="1" customWidth="1"/>
    <col min="2" max="2" width="8.42578125" customWidth="1"/>
    <col min="3" max="3" width="28.85546875" customWidth="1"/>
    <col min="4" max="5" width="12.28515625" bestFit="1" customWidth="1"/>
    <col min="6" max="6" width="12.5703125" bestFit="1" customWidth="1"/>
    <col min="7" max="7" width="10.7109375" bestFit="1" customWidth="1"/>
    <col min="8" max="8" width="12.5703125" bestFit="1" customWidth="1"/>
    <col min="9" max="9" width="10.7109375" bestFit="1" customWidth="1"/>
    <col min="10" max="11" width="10.7109375" customWidth="1"/>
    <col min="12" max="12" width="12.5703125" bestFit="1" customWidth="1"/>
    <col min="13" max="13" width="22.7109375" bestFit="1" customWidth="1"/>
    <col min="15" max="15" width="12.5703125" style="17" bestFit="1" customWidth="1"/>
    <col min="16" max="16" width="12.5703125" bestFit="1" customWidth="1"/>
  </cols>
  <sheetData>
    <row r="2" spans="1:17" ht="15.75" x14ac:dyDescent="0.25">
      <c r="A2" s="34" t="s">
        <v>12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4" spans="1:17" ht="60" x14ac:dyDescent="0.25">
      <c r="A4" s="1" t="s">
        <v>0</v>
      </c>
      <c r="B4" s="1" t="s">
        <v>1</v>
      </c>
      <c r="C4" s="1" t="s">
        <v>9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20</v>
      </c>
      <c r="I4" s="1" t="s">
        <v>7</v>
      </c>
      <c r="J4" s="1" t="s">
        <v>25</v>
      </c>
      <c r="K4" s="1" t="s">
        <v>24</v>
      </c>
      <c r="L4" s="1" t="s">
        <v>8</v>
      </c>
      <c r="M4" s="1" t="s">
        <v>11</v>
      </c>
    </row>
    <row r="5" spans="1:17" ht="18" customHeight="1" x14ac:dyDescent="0.25">
      <c r="A5" s="3">
        <v>1</v>
      </c>
      <c r="B5" s="4">
        <v>45017</v>
      </c>
      <c r="C5" s="4" t="s">
        <v>10</v>
      </c>
      <c r="D5" s="6">
        <v>763472</v>
      </c>
      <c r="E5" s="6">
        <v>712938</v>
      </c>
      <c r="F5" s="6">
        <f>+D5+E5</f>
        <v>1476410</v>
      </c>
      <c r="G5" s="9">
        <v>45061</v>
      </c>
      <c r="H5" s="6">
        <v>1476410</v>
      </c>
      <c r="I5" s="7">
        <v>45058</v>
      </c>
      <c r="J5" s="7"/>
      <c r="K5" s="7"/>
      <c r="L5" s="19">
        <f>+F5-H5</f>
        <v>0</v>
      </c>
      <c r="M5" s="5"/>
      <c r="P5" s="18"/>
    </row>
    <row r="6" spans="1:17" ht="18" customHeight="1" x14ac:dyDescent="0.25">
      <c r="A6" s="3">
        <f>+A5+1</f>
        <v>2</v>
      </c>
      <c r="B6" s="4">
        <v>45047</v>
      </c>
      <c r="C6" s="4" t="s">
        <v>10</v>
      </c>
      <c r="D6" s="6">
        <v>768853</v>
      </c>
      <c r="E6" s="6">
        <v>717892.99999999977</v>
      </c>
      <c r="F6" s="6">
        <f>+D6+E6</f>
        <v>1486745.9999999998</v>
      </c>
      <c r="G6" s="9">
        <v>45092</v>
      </c>
      <c r="H6" s="6">
        <v>1486746</v>
      </c>
      <c r="I6" s="7">
        <v>45090</v>
      </c>
      <c r="J6" s="7"/>
      <c r="K6" s="7"/>
      <c r="L6" s="19">
        <f t="shared" ref="L6:L18" si="0">+F6-H6</f>
        <v>0</v>
      </c>
      <c r="M6" s="5"/>
      <c r="Q6" s="18"/>
    </row>
    <row r="7" spans="1:17" ht="18" customHeight="1" x14ac:dyDescent="0.25">
      <c r="A7" s="3">
        <f t="shared" ref="A7:A15" si="1">+A6+1</f>
        <v>3</v>
      </c>
      <c r="B7" s="4">
        <v>45078</v>
      </c>
      <c r="C7" s="4" t="s">
        <v>10</v>
      </c>
      <c r="D7" s="6">
        <v>775541</v>
      </c>
      <c r="E7" s="6">
        <v>723800</v>
      </c>
      <c r="F7" s="6">
        <f>+D7+E7</f>
        <v>1499341</v>
      </c>
      <c r="G7" s="9">
        <v>45122</v>
      </c>
      <c r="H7" s="6">
        <v>1499341</v>
      </c>
      <c r="I7" s="7">
        <v>45120</v>
      </c>
      <c r="J7" s="7"/>
      <c r="K7" s="7"/>
      <c r="L7" s="19">
        <f t="shared" si="0"/>
        <v>0</v>
      </c>
      <c r="M7" s="5"/>
      <c r="Q7" s="18"/>
    </row>
    <row r="8" spans="1:17" ht="18" customHeight="1" x14ac:dyDescent="0.25">
      <c r="A8" s="3">
        <f t="shared" si="1"/>
        <v>4</v>
      </c>
      <c r="B8" s="4">
        <v>45108</v>
      </c>
      <c r="C8" s="4" t="s">
        <v>16</v>
      </c>
      <c r="D8" s="6">
        <v>978509</v>
      </c>
      <c r="E8" s="6">
        <v>913723.00000000023</v>
      </c>
      <c r="F8" s="6">
        <f t="shared" ref="F8:F18" si="2">+D8+E8</f>
        <v>1892232.0000000002</v>
      </c>
      <c r="G8" s="9">
        <v>45153</v>
      </c>
      <c r="H8" s="6">
        <v>1892232</v>
      </c>
      <c r="I8" s="7">
        <v>45149</v>
      </c>
      <c r="J8" s="7"/>
      <c r="K8" s="7"/>
      <c r="L8" s="19">
        <f t="shared" si="0"/>
        <v>0</v>
      </c>
      <c r="M8" s="5"/>
      <c r="Q8" s="18"/>
    </row>
    <row r="9" spans="1:17" ht="18" customHeight="1" x14ac:dyDescent="0.25">
      <c r="A9" s="3">
        <f t="shared" si="1"/>
        <v>5</v>
      </c>
      <c r="B9" s="4">
        <v>45139</v>
      </c>
      <c r="C9" s="4" t="s">
        <v>10</v>
      </c>
      <c r="D9" s="6">
        <v>883728.01</v>
      </c>
      <c r="E9" s="6">
        <v>826287.98999999976</v>
      </c>
      <c r="F9" s="6">
        <f t="shared" si="2"/>
        <v>1710015.9999999998</v>
      </c>
      <c r="G9" s="9">
        <v>45184</v>
      </c>
      <c r="H9" s="6">
        <v>1714239</v>
      </c>
      <c r="I9" s="7">
        <v>45180</v>
      </c>
      <c r="J9" s="7"/>
      <c r="K9" s="7"/>
      <c r="L9" s="19">
        <f t="shared" si="0"/>
        <v>-4223.0000000002328</v>
      </c>
      <c r="M9" s="5" t="s">
        <v>14</v>
      </c>
      <c r="Q9" s="18"/>
    </row>
    <row r="10" spans="1:17" ht="18" customHeight="1" x14ac:dyDescent="0.25">
      <c r="A10" s="3">
        <f t="shared" si="1"/>
        <v>6</v>
      </c>
      <c r="B10" s="4">
        <v>45170</v>
      </c>
      <c r="C10" s="4" t="s">
        <v>16</v>
      </c>
      <c r="D10" s="6">
        <v>1082414.99</v>
      </c>
      <c r="E10" s="6">
        <v>1009861.0099999998</v>
      </c>
      <c r="F10" s="6">
        <f t="shared" si="2"/>
        <v>2092275.9999999998</v>
      </c>
      <c r="G10" s="9">
        <v>45214</v>
      </c>
      <c r="H10" s="6">
        <v>2092276</v>
      </c>
      <c r="I10" s="7">
        <v>45210</v>
      </c>
      <c r="J10" s="7"/>
      <c r="K10" s="7"/>
      <c r="L10" s="19">
        <f t="shared" si="0"/>
        <v>0</v>
      </c>
      <c r="M10" s="5"/>
      <c r="Q10" s="18"/>
    </row>
    <row r="11" spans="1:17" ht="18" customHeight="1" x14ac:dyDescent="0.25">
      <c r="A11" s="3">
        <f t="shared" si="1"/>
        <v>7</v>
      </c>
      <c r="B11" s="4">
        <v>45200</v>
      </c>
      <c r="C11" s="4" t="s">
        <v>10</v>
      </c>
      <c r="D11" s="6">
        <v>875731.14</v>
      </c>
      <c r="E11" s="6">
        <v>818791.85999999975</v>
      </c>
      <c r="F11" s="6">
        <f t="shared" si="2"/>
        <v>1694522.9999999998</v>
      </c>
      <c r="G11" s="9">
        <v>45245</v>
      </c>
      <c r="H11" s="6">
        <v>1694523</v>
      </c>
      <c r="I11" s="7">
        <v>45245</v>
      </c>
      <c r="J11" s="7"/>
      <c r="K11" s="7"/>
      <c r="L11" s="19">
        <f t="shared" si="0"/>
        <v>0</v>
      </c>
      <c r="M11" s="20"/>
    </row>
    <row r="12" spans="1:17" ht="18" customHeight="1" x14ac:dyDescent="0.25">
      <c r="A12" s="3">
        <f t="shared" si="1"/>
        <v>8</v>
      </c>
      <c r="B12" s="4">
        <v>45231</v>
      </c>
      <c r="C12" s="4" t="s">
        <v>10</v>
      </c>
      <c r="D12" s="6">
        <v>859918.99999999988</v>
      </c>
      <c r="E12" s="6">
        <v>803933.00000000012</v>
      </c>
      <c r="F12" s="6">
        <f t="shared" si="2"/>
        <v>1663852</v>
      </c>
      <c r="G12" s="9">
        <v>45275</v>
      </c>
      <c r="H12" s="6">
        <v>1663852</v>
      </c>
      <c r="I12" s="7">
        <v>45271</v>
      </c>
      <c r="J12" s="7"/>
      <c r="K12" s="7"/>
      <c r="L12" s="19">
        <f t="shared" si="0"/>
        <v>0</v>
      </c>
      <c r="M12" s="5"/>
    </row>
    <row r="13" spans="1:17" s="17" customFormat="1" ht="18" customHeight="1" x14ac:dyDescent="0.25">
      <c r="A13" s="3">
        <f t="shared" si="1"/>
        <v>9</v>
      </c>
      <c r="B13" s="4">
        <v>45261</v>
      </c>
      <c r="C13" s="4" t="s">
        <v>10</v>
      </c>
      <c r="D13" s="6">
        <v>859284.01</v>
      </c>
      <c r="E13" s="6">
        <v>803218.99</v>
      </c>
      <c r="F13" s="6">
        <f t="shared" si="2"/>
        <v>1662503</v>
      </c>
      <c r="G13" s="9">
        <v>45306</v>
      </c>
      <c r="H13" s="6">
        <v>1662503</v>
      </c>
      <c r="I13" s="7">
        <v>45303</v>
      </c>
      <c r="J13" s="7"/>
      <c r="K13" s="7"/>
      <c r="L13" s="19">
        <f t="shared" si="0"/>
        <v>0</v>
      </c>
      <c r="M13" s="5"/>
      <c r="N13"/>
      <c r="P13"/>
      <c r="Q13"/>
    </row>
    <row r="14" spans="1:17" s="17" customFormat="1" ht="18" customHeight="1" x14ac:dyDescent="0.25">
      <c r="A14" s="3">
        <f t="shared" si="1"/>
        <v>10</v>
      </c>
      <c r="B14" s="4">
        <v>45292</v>
      </c>
      <c r="C14" s="4" t="s">
        <v>10</v>
      </c>
      <c r="D14" s="6">
        <v>846046</v>
      </c>
      <c r="E14" s="6">
        <v>790970</v>
      </c>
      <c r="F14" s="6">
        <f t="shared" si="2"/>
        <v>1637016</v>
      </c>
      <c r="G14" s="9">
        <v>45337</v>
      </c>
      <c r="H14" s="6">
        <v>1637016</v>
      </c>
      <c r="I14" s="7">
        <v>45335</v>
      </c>
      <c r="J14" s="7"/>
      <c r="K14" s="7"/>
      <c r="L14" s="19">
        <f t="shared" si="0"/>
        <v>0</v>
      </c>
      <c r="M14" s="5"/>
      <c r="N14"/>
      <c r="P14"/>
      <c r="Q14"/>
    </row>
    <row r="15" spans="1:17" s="17" customFormat="1" ht="18" customHeight="1" x14ac:dyDescent="0.25">
      <c r="A15" s="3">
        <f t="shared" si="1"/>
        <v>11</v>
      </c>
      <c r="B15" s="4">
        <v>45323</v>
      </c>
      <c r="C15" s="4" t="s">
        <v>10</v>
      </c>
      <c r="D15" s="6">
        <v>856344.25</v>
      </c>
      <c r="E15" s="6">
        <v>804468.75</v>
      </c>
      <c r="F15" s="6">
        <f t="shared" si="2"/>
        <v>1660813</v>
      </c>
      <c r="G15" s="9">
        <v>45366</v>
      </c>
      <c r="H15" s="6">
        <v>1660813</v>
      </c>
      <c r="I15" s="7">
        <v>45363</v>
      </c>
      <c r="J15" s="7"/>
      <c r="K15" s="7"/>
      <c r="L15" s="19">
        <f t="shared" si="0"/>
        <v>0</v>
      </c>
      <c r="M15" s="5"/>
      <c r="N15"/>
      <c r="P15"/>
      <c r="Q15"/>
    </row>
    <row r="16" spans="1:17" s="17" customFormat="1" ht="18" customHeight="1" x14ac:dyDescent="0.25">
      <c r="A16" s="3"/>
      <c r="B16" s="4"/>
      <c r="C16" s="4"/>
      <c r="D16" s="6">
        <v>4590</v>
      </c>
      <c r="E16" s="6">
        <v>0</v>
      </c>
      <c r="F16" s="6">
        <f t="shared" si="2"/>
        <v>4590</v>
      </c>
      <c r="G16" s="9">
        <v>45366</v>
      </c>
      <c r="H16" s="6">
        <v>4590</v>
      </c>
      <c r="I16" s="7">
        <v>45545</v>
      </c>
      <c r="J16" s="7"/>
      <c r="K16" s="7"/>
      <c r="L16" s="19">
        <f t="shared" si="0"/>
        <v>0</v>
      </c>
      <c r="M16" s="5"/>
      <c r="N16"/>
      <c r="P16"/>
      <c r="Q16"/>
    </row>
    <row r="17" spans="1:17" s="17" customFormat="1" ht="18" customHeight="1" x14ac:dyDescent="0.25">
      <c r="A17" s="3"/>
      <c r="B17" s="4"/>
      <c r="C17" s="4"/>
      <c r="D17" s="6">
        <v>699.25</v>
      </c>
      <c r="E17" s="6">
        <v>0</v>
      </c>
      <c r="F17" s="6">
        <f t="shared" si="2"/>
        <v>699.25</v>
      </c>
      <c r="G17" s="9">
        <v>45366</v>
      </c>
      <c r="H17" s="6">
        <v>699</v>
      </c>
      <c r="I17" s="7">
        <v>45397</v>
      </c>
      <c r="J17" s="7"/>
      <c r="K17" s="7"/>
      <c r="L17" s="19"/>
      <c r="M17" s="5"/>
      <c r="N17"/>
      <c r="P17"/>
      <c r="Q17"/>
    </row>
    <row r="18" spans="1:17" s="17" customFormat="1" ht="18" customHeight="1" x14ac:dyDescent="0.25">
      <c r="A18" s="3">
        <f>+A15+1</f>
        <v>12</v>
      </c>
      <c r="B18" s="4">
        <v>45352</v>
      </c>
      <c r="C18" s="4" t="s">
        <v>15</v>
      </c>
      <c r="D18" s="6">
        <v>909741.63</v>
      </c>
      <c r="E18" s="6">
        <v>850544.12</v>
      </c>
      <c r="F18" s="6">
        <f t="shared" si="2"/>
        <v>1760285.75</v>
      </c>
      <c r="G18" s="9">
        <v>45397</v>
      </c>
      <c r="H18" s="6">
        <f>1760985-699.25</f>
        <v>1760285.75</v>
      </c>
      <c r="I18" s="7">
        <v>45397</v>
      </c>
      <c r="J18" s="7"/>
      <c r="K18" s="7"/>
      <c r="L18" s="19">
        <f t="shared" si="0"/>
        <v>0</v>
      </c>
      <c r="M18" s="5"/>
      <c r="N18"/>
      <c r="P18"/>
      <c r="Q18"/>
    </row>
    <row r="19" spans="1:17" x14ac:dyDescent="0.25">
      <c r="A19" s="27"/>
      <c r="B19" s="28"/>
      <c r="C19" s="28"/>
      <c r="D19" s="28"/>
      <c r="E19" s="28"/>
      <c r="F19" s="29">
        <f>SUM(F5:F18)</f>
        <v>20241303</v>
      </c>
      <c r="G19" s="28"/>
      <c r="H19" s="29">
        <f>SUM(H5:H18)</f>
        <v>20245525.75</v>
      </c>
      <c r="I19" s="28"/>
      <c r="J19" s="28"/>
      <c r="K19" s="28"/>
      <c r="L19" s="30">
        <f>SUM(L15:L18)</f>
        <v>0</v>
      </c>
      <c r="M19" s="31" t="s">
        <v>22</v>
      </c>
    </row>
    <row r="20" spans="1:17" x14ac:dyDescent="0.25">
      <c r="A20" s="24"/>
      <c r="B20" s="8"/>
      <c r="C20" s="8" t="s">
        <v>21</v>
      </c>
      <c r="D20" s="25"/>
      <c r="E20" s="25"/>
      <c r="F20" s="25"/>
      <c r="G20" s="8"/>
      <c r="H20" s="22">
        <v>4223.25</v>
      </c>
      <c r="I20" s="8"/>
      <c r="J20" s="8"/>
      <c r="K20" s="8"/>
      <c r="L20" s="26"/>
      <c r="M20" s="8" t="s">
        <v>22</v>
      </c>
    </row>
    <row r="21" spans="1:17" x14ac:dyDescent="0.25">
      <c r="A21" s="32"/>
      <c r="B21" s="28"/>
      <c r="C21" s="28" t="s">
        <v>4</v>
      </c>
      <c r="D21" s="28"/>
      <c r="E21" s="28"/>
      <c r="F21" s="33">
        <f>+F19-F20</f>
        <v>20241303</v>
      </c>
      <c r="G21" s="28"/>
      <c r="H21" s="33">
        <f>+H19-H20</f>
        <v>20241302.5</v>
      </c>
      <c r="I21" s="28"/>
      <c r="J21" s="28"/>
      <c r="K21" s="28"/>
      <c r="L21" s="28"/>
      <c r="M21" s="28"/>
    </row>
    <row r="22" spans="1:17" hidden="1" x14ac:dyDescent="0.25">
      <c r="L22" s="18"/>
    </row>
    <row r="23" spans="1:17" hidden="1" x14ac:dyDescent="0.25">
      <c r="L23" s="18"/>
    </row>
    <row r="24" spans="1:17" hidden="1" x14ac:dyDescent="0.25"/>
    <row r="25" spans="1:17" hidden="1" x14ac:dyDescent="0.25">
      <c r="F25" s="8" t="s">
        <v>17</v>
      </c>
      <c r="G25" s="8"/>
      <c r="H25" s="22">
        <v>1739289</v>
      </c>
    </row>
    <row r="26" spans="1:17" hidden="1" x14ac:dyDescent="0.25">
      <c r="F26" s="8" t="s">
        <v>18</v>
      </c>
      <c r="G26" s="8"/>
      <c r="H26" s="22">
        <v>183.75</v>
      </c>
    </row>
    <row r="27" spans="1:17" hidden="1" x14ac:dyDescent="0.25">
      <c r="F27" s="8" t="s">
        <v>4</v>
      </c>
      <c r="G27" s="8"/>
      <c r="H27" s="23">
        <f>+H25-H26</f>
        <v>1739105.25</v>
      </c>
    </row>
    <row r="28" spans="1:17" hidden="1" x14ac:dyDescent="0.25">
      <c r="F28" s="8" t="s">
        <v>19</v>
      </c>
      <c r="G28" s="8"/>
      <c r="H28" s="22">
        <v>1743879</v>
      </c>
    </row>
    <row r="29" spans="1:17" hidden="1" x14ac:dyDescent="0.25">
      <c r="F29" s="21" t="s">
        <v>8</v>
      </c>
      <c r="G29" s="21"/>
      <c r="H29" s="23">
        <f>+H27-H28</f>
        <v>-4773.75</v>
      </c>
    </row>
    <row r="30" spans="1:17" hidden="1" x14ac:dyDescent="0.25"/>
    <row r="31" spans="1:17" hidden="1" x14ac:dyDescent="0.25"/>
  </sheetData>
  <mergeCells count="1">
    <mergeCell ref="A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ESI</vt:lpstr>
      <vt:lpstr>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2026-04-22T07:04:00Z</dcterms:modified>
</cp:coreProperties>
</file>