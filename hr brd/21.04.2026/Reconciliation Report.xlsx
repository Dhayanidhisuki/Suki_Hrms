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ther\Kun\21.04.2026\"/>
    </mc:Choice>
  </mc:AlternateContent>
  <bookViews>
    <workbookView xWindow="0" yWindow="0" windowWidth="23040" windowHeight="8400"/>
  </bookViews>
  <sheets>
    <sheet name="Mar-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486" i="1" l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</calcChain>
</file>

<file path=xl/sharedStrings.xml><?xml version="1.0" encoding="utf-8"?>
<sst xmlns="http://schemas.openxmlformats.org/spreadsheetml/2006/main" count="1408" uniqueCount="986">
  <si>
    <t>KUN AEROSPACE PVT LTD</t>
  </si>
  <si>
    <t xml:space="preserve">Salary Reconciliation For Month Mar/2026 </t>
  </si>
  <si>
    <t>As per Feb/2026Salary - (A)</t>
  </si>
  <si>
    <t>BASIC</t>
  </si>
  <si>
    <t>HRA</t>
  </si>
  <si>
    <t>LTA</t>
  </si>
  <si>
    <t>MEDI ALLOW</t>
  </si>
  <si>
    <t>EDU ALLOW</t>
  </si>
  <si>
    <t>ATT_BONUS</t>
  </si>
  <si>
    <t>DM_INC</t>
  </si>
  <si>
    <t>OT</t>
  </si>
  <si>
    <t>ESI WAGES</t>
  </si>
  <si>
    <t>OT HRS</t>
  </si>
  <si>
    <t>PMS INC FI</t>
  </si>
  <si>
    <t>Shift Cont</t>
  </si>
  <si>
    <t>PMS Incent</t>
  </si>
  <si>
    <t>Cumulative</t>
  </si>
  <si>
    <t>PMS %</t>
  </si>
  <si>
    <t>OC Empl ES</t>
  </si>
  <si>
    <t>OC Emplr E</t>
  </si>
  <si>
    <t>PMS EMPESI</t>
  </si>
  <si>
    <t>PMS EMPRES</t>
  </si>
  <si>
    <t>PMS NET</t>
  </si>
  <si>
    <t>PF WAGES</t>
  </si>
  <si>
    <t>Open ESI</t>
  </si>
  <si>
    <t>OPEN EMP</t>
  </si>
  <si>
    <t>OPEN EMPLR</t>
  </si>
  <si>
    <t>OPEN NET</t>
  </si>
  <si>
    <t>EMPLOYEE R</t>
  </si>
  <si>
    <t>ADD HRA</t>
  </si>
  <si>
    <t>TOT OC EAR</t>
  </si>
  <si>
    <t>Tot OC Net</t>
  </si>
  <si>
    <t>Earning Total</t>
  </si>
  <si>
    <t>PF</t>
  </si>
  <si>
    <t>ESI</t>
  </si>
  <si>
    <t>PT</t>
  </si>
  <si>
    <t>TDS</t>
  </si>
  <si>
    <t>CANTEEN DE</t>
  </si>
  <si>
    <t>OTHER DED</t>
  </si>
  <si>
    <t>MEDICLAIM</t>
  </si>
  <si>
    <t>SNACKS DED</t>
  </si>
  <si>
    <t>Deduction Total</t>
  </si>
  <si>
    <t>Net Amount</t>
  </si>
  <si>
    <t>Head Count</t>
  </si>
  <si>
    <t>Addition(Employees Joined) - Mar/2026Salary</t>
  </si>
  <si>
    <t>Emp ID</t>
  </si>
  <si>
    <t>Employee Name</t>
  </si>
  <si>
    <t>2548</t>
  </si>
  <si>
    <t>NAVEENKUMAR DHAYALAN</t>
  </si>
  <si>
    <t>DODLA LAHARI</t>
  </si>
  <si>
    <t>2549</t>
  </si>
  <si>
    <t>VARSHA M</t>
  </si>
  <si>
    <t>2550</t>
  </si>
  <si>
    <t>SAVITHRA NEELAMEGAM</t>
  </si>
  <si>
    <t>2551</t>
  </si>
  <si>
    <t>NAVIN N</t>
  </si>
  <si>
    <t>2553</t>
  </si>
  <si>
    <t>DARSHAN SOMASUNDARAM</t>
  </si>
  <si>
    <t>2554</t>
  </si>
  <si>
    <t>KARTHIKRAJ PACKIRISAMY</t>
  </si>
  <si>
    <t>2555</t>
  </si>
  <si>
    <t>SURENDHIRAN D</t>
  </si>
  <si>
    <t>2556</t>
  </si>
  <si>
    <t>K SUJITH KUMAR</t>
  </si>
  <si>
    <t>2557</t>
  </si>
  <si>
    <t>SUDHESKAR R</t>
  </si>
  <si>
    <t>2558</t>
  </si>
  <si>
    <t>M ABINASH</t>
  </si>
  <si>
    <t>2560</t>
  </si>
  <si>
    <t>V VIGNESH</t>
  </si>
  <si>
    <t>2562</t>
  </si>
  <si>
    <t>KUMARAVELU S</t>
  </si>
  <si>
    <t>2563</t>
  </si>
  <si>
    <t>AMRITHAA</t>
  </si>
  <si>
    <t>2564</t>
  </si>
  <si>
    <t>THULASI S</t>
  </si>
  <si>
    <t>2565</t>
  </si>
  <si>
    <t>UTHAYA SELVAM S</t>
  </si>
  <si>
    <t>2566</t>
  </si>
  <si>
    <t>NAGUL</t>
  </si>
  <si>
    <t>2568</t>
  </si>
  <si>
    <t>VIJAYAKUMAR</t>
  </si>
  <si>
    <t>2569</t>
  </si>
  <si>
    <t>TRUSHAN MAHAJAN</t>
  </si>
  <si>
    <t>2573</t>
  </si>
  <si>
    <t>SRIDHAR D</t>
  </si>
  <si>
    <t>2575</t>
  </si>
  <si>
    <t>S V ARTHI</t>
  </si>
  <si>
    <t>2576</t>
  </si>
  <si>
    <t>NISHA KARNAN</t>
  </si>
  <si>
    <t>2570</t>
  </si>
  <si>
    <t>A ARCHANA</t>
  </si>
  <si>
    <t>2571</t>
  </si>
  <si>
    <t>LOGAPRIYAN N</t>
  </si>
  <si>
    <t>2572</t>
  </si>
  <si>
    <t>MUNEESWARARAM</t>
  </si>
  <si>
    <t>2578</t>
  </si>
  <si>
    <t>BALAMURUGAN SARANGABANI</t>
  </si>
  <si>
    <t>2579</t>
  </si>
  <si>
    <t>G K SIDHARTHAN</t>
  </si>
  <si>
    <t>2581</t>
  </si>
  <si>
    <t>KUMARESAN</t>
  </si>
  <si>
    <t>2582</t>
  </si>
  <si>
    <t>RAGHUL G</t>
  </si>
  <si>
    <t>2561</t>
  </si>
  <si>
    <t>KARTHIKEYAN R</t>
  </si>
  <si>
    <t>2567</t>
  </si>
  <si>
    <t>RUBIYANA I</t>
  </si>
  <si>
    <t>2584</t>
  </si>
  <si>
    <t>SIVALINGAM M</t>
  </si>
  <si>
    <t>2586</t>
  </si>
  <si>
    <t>MURUGAN</t>
  </si>
  <si>
    <t>2587</t>
  </si>
  <si>
    <t>Total - (B)</t>
  </si>
  <si>
    <t>Deletion (Employees Left) - Feb/2026Salary</t>
  </si>
  <si>
    <t>RAJESH D</t>
  </si>
  <si>
    <t>1063</t>
  </si>
  <si>
    <t>VIMALKUMAR</t>
  </si>
  <si>
    <t>1188</t>
  </si>
  <si>
    <t>ABISHEK</t>
  </si>
  <si>
    <t>1649</t>
  </si>
  <si>
    <t>ABINESH PANDIYAN</t>
  </si>
  <si>
    <t>1653</t>
  </si>
  <si>
    <t>SABARINATHAN L</t>
  </si>
  <si>
    <t>1894</t>
  </si>
  <si>
    <t>ARUNRAJ N</t>
  </si>
  <si>
    <t>2204</t>
  </si>
  <si>
    <t>NETHAJI A</t>
  </si>
  <si>
    <t>2328</t>
  </si>
  <si>
    <t>YUVARAJ E</t>
  </si>
  <si>
    <t>2324</t>
  </si>
  <si>
    <t>AJITH KUMAR R</t>
  </si>
  <si>
    <t>2325</t>
  </si>
  <si>
    <t>M KOKILA</t>
  </si>
  <si>
    <t>2383</t>
  </si>
  <si>
    <t>JAYASUDHAN A</t>
  </si>
  <si>
    <t>2423</t>
  </si>
  <si>
    <t>ARUNKUMAR KARUPPUSAMY</t>
  </si>
  <si>
    <t>2443</t>
  </si>
  <si>
    <t>MOSES THOMAS FELIX</t>
  </si>
  <si>
    <t>2459</t>
  </si>
  <si>
    <t>SHARATH R</t>
  </si>
  <si>
    <t>2476</t>
  </si>
  <si>
    <t>MARY JISS</t>
  </si>
  <si>
    <t>2490</t>
  </si>
  <si>
    <t>ARUN SELVAKUMAR</t>
  </si>
  <si>
    <t>2494</t>
  </si>
  <si>
    <t>ABARAJITHAN A</t>
  </si>
  <si>
    <t>2495</t>
  </si>
  <si>
    <t>BALASUBRAMANIAN T</t>
  </si>
  <si>
    <t>1537</t>
  </si>
  <si>
    <t>KARTHICK M</t>
  </si>
  <si>
    <t>2519</t>
  </si>
  <si>
    <t>NAVEEN S</t>
  </si>
  <si>
    <t>2520</t>
  </si>
  <si>
    <t>Total - (C)</t>
  </si>
  <si>
    <t>Adjustment(Salary Difference Amount)</t>
  </si>
  <si>
    <t>A DEVARAJ</t>
  </si>
  <si>
    <t>0174</t>
  </si>
  <si>
    <t>-</t>
  </si>
  <si>
    <t>A M IYAPPAN</t>
  </si>
  <si>
    <t>1820</t>
  </si>
  <si>
    <t>A M JAGAN</t>
  </si>
  <si>
    <t>1598</t>
  </si>
  <si>
    <t>A M KARTHIK</t>
  </si>
  <si>
    <t>0756</t>
  </si>
  <si>
    <t>A PARAMASIVAN</t>
  </si>
  <si>
    <t>2344</t>
  </si>
  <si>
    <t>A VIGNESH</t>
  </si>
  <si>
    <t>10253</t>
  </si>
  <si>
    <t>AASHICK PRINCE S</t>
  </si>
  <si>
    <t>1928</t>
  </si>
  <si>
    <t>ADHISIVAN P</t>
  </si>
  <si>
    <t>2521</t>
  </si>
  <si>
    <t>AJAY DEVARAJ</t>
  </si>
  <si>
    <t>1149</t>
  </si>
  <si>
    <t>AJITH .</t>
  </si>
  <si>
    <t>1383</t>
  </si>
  <si>
    <t>AJITH KUMAR</t>
  </si>
  <si>
    <t>2437</t>
  </si>
  <si>
    <t>AJITH MURUGAESAN</t>
  </si>
  <si>
    <t>1558</t>
  </si>
  <si>
    <t>Ajithkumar  A</t>
  </si>
  <si>
    <t>1956</t>
  </si>
  <si>
    <t>AKILAN MURUGESAN</t>
  </si>
  <si>
    <t>1664</t>
  </si>
  <si>
    <t>AKSHAYA B</t>
  </si>
  <si>
    <t>2174</t>
  </si>
  <si>
    <t>ALAMELU P</t>
  </si>
  <si>
    <t>1892</t>
  </si>
  <si>
    <t>ANANTHA KUMAR P</t>
  </si>
  <si>
    <t>10176</t>
  </si>
  <si>
    <t>ANBU G</t>
  </si>
  <si>
    <t>1140</t>
  </si>
  <si>
    <t>ANITHA</t>
  </si>
  <si>
    <t>0636</t>
  </si>
  <si>
    <t>ANN MARIA FREDY</t>
  </si>
  <si>
    <t>2462</t>
  </si>
  <si>
    <t>Antony Xavier S</t>
  </si>
  <si>
    <t>2056</t>
  </si>
  <si>
    <t>ANUJITH   K</t>
  </si>
  <si>
    <t>1592</t>
  </si>
  <si>
    <t>ARAVIND SR</t>
  </si>
  <si>
    <t>2130</t>
  </si>
  <si>
    <t>ARAVIND TAMILSELVAN</t>
  </si>
  <si>
    <t>2272</t>
  </si>
  <si>
    <t>Aravindh P</t>
  </si>
  <si>
    <t>2072</t>
  </si>
  <si>
    <t>ARCHITHAA ARVIND</t>
  </si>
  <si>
    <t>2446</t>
  </si>
  <si>
    <t>ARIHARA SUTHAN T</t>
  </si>
  <si>
    <t>0475</t>
  </si>
  <si>
    <t>ARIVAZHAGAN MATHIYAZHAGAN</t>
  </si>
  <si>
    <t>2355</t>
  </si>
  <si>
    <t>ARIVUMANI G</t>
  </si>
  <si>
    <t>10109</t>
  </si>
  <si>
    <t>ARULKUMAR V</t>
  </si>
  <si>
    <t>0325</t>
  </si>
  <si>
    <t>ARUNKUMAR ARUMUGAM</t>
  </si>
  <si>
    <t>1047</t>
  </si>
  <si>
    <t>ARUNPANDIYAN A</t>
  </si>
  <si>
    <t>2497</t>
  </si>
  <si>
    <t>ASHOK M</t>
  </si>
  <si>
    <t>2269</t>
  </si>
  <si>
    <t>ASHOK P</t>
  </si>
  <si>
    <t>0052</t>
  </si>
  <si>
    <t>ASWIN</t>
  </si>
  <si>
    <t>0956</t>
  </si>
  <si>
    <t>B MEGANATHAN</t>
  </si>
  <si>
    <t>1268</t>
  </si>
  <si>
    <t>B MOHANRAJ</t>
  </si>
  <si>
    <t>1246</t>
  </si>
  <si>
    <t>B NAGARAJAN</t>
  </si>
  <si>
    <t>2534</t>
  </si>
  <si>
    <t>B SHANKAR MOULI</t>
  </si>
  <si>
    <t>0809</t>
  </si>
  <si>
    <t>BABU R</t>
  </si>
  <si>
    <t>0378</t>
  </si>
  <si>
    <t>BALA THIRIPURASUNDARI S</t>
  </si>
  <si>
    <t>2512</t>
  </si>
  <si>
    <t>BALAJI</t>
  </si>
  <si>
    <t>1336</t>
  </si>
  <si>
    <t>BALAJI .</t>
  </si>
  <si>
    <t>2290</t>
  </si>
  <si>
    <t>BALAKUMAR U</t>
  </si>
  <si>
    <t>2475</t>
  </si>
  <si>
    <t>BALAMURUGAN</t>
  </si>
  <si>
    <t>10163</t>
  </si>
  <si>
    <t>BALASUBRAMANIYAM B</t>
  </si>
  <si>
    <t>0781</t>
  </si>
  <si>
    <t>BARATHKUMAR RATHINAKUMAR</t>
  </si>
  <si>
    <t>2088</t>
  </si>
  <si>
    <t>BARMA PREM CHAND</t>
  </si>
  <si>
    <t>2321</t>
  </si>
  <si>
    <t>BAVITHRAN G</t>
  </si>
  <si>
    <t>2233</t>
  </si>
  <si>
    <t>BHARATH B</t>
  </si>
  <si>
    <t>2472</t>
  </si>
  <si>
    <t>BHARATHIDASAN J</t>
  </si>
  <si>
    <t>1600</t>
  </si>
  <si>
    <t>BUVANESWARAN S</t>
  </si>
  <si>
    <t>0071</t>
  </si>
  <si>
    <t>C MARIAPPAN</t>
  </si>
  <si>
    <t>10005</t>
  </si>
  <si>
    <t>C SANTHOSH</t>
  </si>
  <si>
    <t>1070</t>
  </si>
  <si>
    <t>CHANDRASEKHAR</t>
  </si>
  <si>
    <t>10188</t>
  </si>
  <si>
    <t>CHINNASAMI G</t>
  </si>
  <si>
    <t>10215</t>
  </si>
  <si>
    <t>CHRISTO HEARTLY I</t>
  </si>
  <si>
    <t>1927</t>
  </si>
  <si>
    <t>D AMIRTHALINGAM</t>
  </si>
  <si>
    <t>1967</t>
  </si>
  <si>
    <t>D GUGAN</t>
  </si>
  <si>
    <t>2418</t>
  </si>
  <si>
    <t>DAVID M</t>
  </si>
  <si>
    <t>1786</t>
  </si>
  <si>
    <t>DEEBANRAJ THIYAGARAJAN</t>
  </si>
  <si>
    <t>10179</t>
  </si>
  <si>
    <t>DEEPAK</t>
  </si>
  <si>
    <t>1250</t>
  </si>
  <si>
    <t>Deepakkumar</t>
  </si>
  <si>
    <t>1983</t>
  </si>
  <si>
    <t>DEVI M</t>
  </si>
  <si>
    <t>0216</t>
  </si>
  <si>
    <t>DHAMODHARAN J</t>
  </si>
  <si>
    <t>2528</t>
  </si>
  <si>
    <t>Dhanaseelan S</t>
  </si>
  <si>
    <t>1970</t>
  </si>
  <si>
    <t>DHANDAPANI S R</t>
  </si>
  <si>
    <t>0611</t>
  </si>
  <si>
    <t>DHARANIKUMAR E</t>
  </si>
  <si>
    <t>0448</t>
  </si>
  <si>
    <t>DHINESH A</t>
  </si>
  <si>
    <t>0648</t>
  </si>
  <si>
    <t>DHURKESHWARAN M</t>
  </si>
  <si>
    <t>0094</t>
  </si>
  <si>
    <t>DILLIBABU P</t>
  </si>
  <si>
    <t>1978</t>
  </si>
  <si>
    <t>DINESH</t>
  </si>
  <si>
    <t>2116</t>
  </si>
  <si>
    <t>DINESH BALAJI RAGUNATHAN</t>
  </si>
  <si>
    <t>2410</t>
  </si>
  <si>
    <t>DINESH KUMAR V</t>
  </si>
  <si>
    <t>1350</t>
  </si>
  <si>
    <t>DINESH NAMBI N</t>
  </si>
  <si>
    <t>2506</t>
  </si>
  <si>
    <t>DINESH RAMASAMI</t>
  </si>
  <si>
    <t>2484</t>
  </si>
  <si>
    <t>DINESHKUMAR</t>
  </si>
  <si>
    <t>2053</t>
  </si>
  <si>
    <t>E SANTHOSH BABU</t>
  </si>
  <si>
    <t>10167</t>
  </si>
  <si>
    <t>EDWIN SENGOLRAJ</t>
  </si>
  <si>
    <t>2330</t>
  </si>
  <si>
    <t>ESAI KUMAR T</t>
  </si>
  <si>
    <t>2492</t>
  </si>
  <si>
    <t>ESAKKIPANDI A</t>
  </si>
  <si>
    <t>2480</t>
  </si>
  <si>
    <t>ESWARAN V</t>
  </si>
  <si>
    <t>1808</t>
  </si>
  <si>
    <t>FIRTHOUS PARVEEN K</t>
  </si>
  <si>
    <t>1802</t>
  </si>
  <si>
    <t>G RAJESH</t>
  </si>
  <si>
    <t>2453</t>
  </si>
  <si>
    <t>G SAKTHIVEL</t>
  </si>
  <si>
    <t>0242</t>
  </si>
  <si>
    <t>G SRINIVASA RAO</t>
  </si>
  <si>
    <t>10001</t>
  </si>
  <si>
    <t>G SRINIVASAN</t>
  </si>
  <si>
    <t>2203</t>
  </si>
  <si>
    <t>G.MUTHU</t>
  </si>
  <si>
    <t>10066</t>
  </si>
  <si>
    <t>GADESH</t>
  </si>
  <si>
    <t>1277</t>
  </si>
  <si>
    <t>GAJA E</t>
  </si>
  <si>
    <t>2266</t>
  </si>
  <si>
    <t>GANESHMOORTHI VELMURUGAN</t>
  </si>
  <si>
    <t>1433</t>
  </si>
  <si>
    <t>GEORGE A</t>
  </si>
  <si>
    <t>2470</t>
  </si>
  <si>
    <t>GERSHOM KUMAR</t>
  </si>
  <si>
    <t>2255</t>
  </si>
  <si>
    <t>GNANADURAI J</t>
  </si>
  <si>
    <t>2193</t>
  </si>
  <si>
    <t>GOKUL G</t>
  </si>
  <si>
    <t>2075</t>
  </si>
  <si>
    <t>GOKUL THAMBI</t>
  </si>
  <si>
    <t>2285</t>
  </si>
  <si>
    <t>GOKUL V</t>
  </si>
  <si>
    <t>0615</t>
  </si>
  <si>
    <t>GOPALAKRISHNAN M</t>
  </si>
  <si>
    <t>10231</t>
  </si>
  <si>
    <t>GOPI J</t>
  </si>
  <si>
    <t>0267</t>
  </si>
  <si>
    <t>GOPINATH</t>
  </si>
  <si>
    <t>2522</t>
  </si>
  <si>
    <t>GREESHMA</t>
  </si>
  <si>
    <t>2166</t>
  </si>
  <si>
    <t>GUNASEKAR S</t>
  </si>
  <si>
    <t>2273</t>
  </si>
  <si>
    <t>GUNASHEELAN NARAYANASAMY</t>
  </si>
  <si>
    <t>2527</t>
  </si>
  <si>
    <t>GURU PRASAD P</t>
  </si>
  <si>
    <t>10002</t>
  </si>
  <si>
    <t>HARIHARAN GANDHI VIJAYARAGHAVALU</t>
  </si>
  <si>
    <t>10276</t>
  </si>
  <si>
    <t>HARIKRISHNAN M</t>
  </si>
  <si>
    <t>0173</t>
  </si>
  <si>
    <t>Harini  S</t>
  </si>
  <si>
    <t>1938</t>
  </si>
  <si>
    <t>Harshith  .</t>
  </si>
  <si>
    <t>2079</t>
  </si>
  <si>
    <t>HEMANANTHAN VELU</t>
  </si>
  <si>
    <t>2038</t>
  </si>
  <si>
    <t>I BASKAR</t>
  </si>
  <si>
    <t>10138</t>
  </si>
  <si>
    <t>IMMANUEL</t>
  </si>
  <si>
    <t>2120</t>
  </si>
  <si>
    <t>J MOHANA VEL</t>
  </si>
  <si>
    <t>2460</t>
  </si>
  <si>
    <t>J SARAVANAKARTHIKEYAN</t>
  </si>
  <si>
    <t>1253</t>
  </si>
  <si>
    <t>JAGADEESH A</t>
  </si>
  <si>
    <t>1702</t>
  </si>
  <si>
    <t>JAGAN J</t>
  </si>
  <si>
    <t>2296</t>
  </si>
  <si>
    <t>JAGANNATHAN</t>
  </si>
  <si>
    <t>1770</t>
  </si>
  <si>
    <t>JAMAL DHEEN A</t>
  </si>
  <si>
    <t>2087</t>
  </si>
  <si>
    <t>JANAKIRAMAN A</t>
  </si>
  <si>
    <t>2513</t>
  </si>
  <si>
    <t>JANARTHANAN VENKATESAN</t>
  </si>
  <si>
    <t>1780</t>
  </si>
  <si>
    <t>JAYA KUMAR S</t>
  </si>
  <si>
    <t>0277</t>
  </si>
  <si>
    <t>JEEVARATHINI .</t>
  </si>
  <si>
    <t>2291</t>
  </si>
  <si>
    <t>JEGAN S</t>
  </si>
  <si>
    <t>1029</t>
  </si>
  <si>
    <t>JEYASEELAN M</t>
  </si>
  <si>
    <t>0568</t>
  </si>
  <si>
    <t>K GANESH</t>
  </si>
  <si>
    <t>10054</t>
  </si>
  <si>
    <t>K GOPINATH</t>
  </si>
  <si>
    <t>1049</t>
  </si>
  <si>
    <t>K HARISH</t>
  </si>
  <si>
    <t>0361</t>
  </si>
  <si>
    <t>K P VIGNESH</t>
  </si>
  <si>
    <t>10211</t>
  </si>
  <si>
    <t>K SARAVANAN</t>
  </si>
  <si>
    <t>2465</t>
  </si>
  <si>
    <t>K SATHYARAJ</t>
  </si>
  <si>
    <t>2181</t>
  </si>
  <si>
    <t>K SELVARAJ</t>
  </si>
  <si>
    <t>10058</t>
  </si>
  <si>
    <t>K SIVARAMAN</t>
  </si>
  <si>
    <t>10152</t>
  </si>
  <si>
    <t>K UTHIRA PANDIYAN</t>
  </si>
  <si>
    <t>2146</t>
  </si>
  <si>
    <t>KALA C</t>
  </si>
  <si>
    <t>2261</t>
  </si>
  <si>
    <t>KALIMUTHU B</t>
  </si>
  <si>
    <t>2518</t>
  </si>
  <si>
    <t>KANAGARAJ A</t>
  </si>
  <si>
    <t>0276</t>
  </si>
  <si>
    <t>KARTHI</t>
  </si>
  <si>
    <t>0022</t>
  </si>
  <si>
    <t>KARTHICK R</t>
  </si>
  <si>
    <t>0616</t>
  </si>
  <si>
    <t>KARTHICKEYAN</t>
  </si>
  <si>
    <t>0695</t>
  </si>
  <si>
    <t>KARTHIK MANICKAVASAGAM</t>
  </si>
  <si>
    <t>1504</t>
  </si>
  <si>
    <t>KATHIRESAN P</t>
  </si>
  <si>
    <t>2256</t>
  </si>
  <si>
    <t>KAVITHA S</t>
  </si>
  <si>
    <t>2533</t>
  </si>
  <si>
    <t>KAVIYARASAN SASIKUMAR</t>
  </si>
  <si>
    <t>1553</t>
  </si>
  <si>
    <t>KAYALVIZHI KARNAN</t>
  </si>
  <si>
    <t>1734</t>
  </si>
  <si>
    <t>KIRUBA SANKAR N</t>
  </si>
  <si>
    <t>2500</t>
  </si>
  <si>
    <t>KOTTESWARAN RAMAN</t>
  </si>
  <si>
    <t>2514</t>
  </si>
  <si>
    <t>KRISHNAMOORTHY R</t>
  </si>
  <si>
    <t>2451</t>
  </si>
  <si>
    <t>KRITHIGA V</t>
  </si>
  <si>
    <t>2441</t>
  </si>
  <si>
    <t>KUMAR</t>
  </si>
  <si>
    <t>0091</t>
  </si>
  <si>
    <t>1791</t>
  </si>
  <si>
    <t>KUMARAVEL KRISHNAN</t>
  </si>
  <si>
    <t>10159</t>
  </si>
  <si>
    <t>KUMARAVELAN S</t>
  </si>
  <si>
    <t>1741</t>
  </si>
  <si>
    <t>KUMARESAN R</t>
  </si>
  <si>
    <t>2151</t>
  </si>
  <si>
    <t>KUMARESAN VELU</t>
  </si>
  <si>
    <t>1459</t>
  </si>
  <si>
    <t>LEELA SHANMUGAM</t>
  </si>
  <si>
    <t>1748</t>
  </si>
  <si>
    <t>LENIN ANBAZHAGAN</t>
  </si>
  <si>
    <t>2294</t>
  </si>
  <si>
    <t>LIYAS A</t>
  </si>
  <si>
    <t>1855</t>
  </si>
  <si>
    <t>LOGANATHAN C</t>
  </si>
  <si>
    <t>2368</t>
  </si>
  <si>
    <t>LOGESH M</t>
  </si>
  <si>
    <t>2464</t>
  </si>
  <si>
    <t>LOGESH T</t>
  </si>
  <si>
    <t>2473</t>
  </si>
  <si>
    <t>LOKESH B</t>
  </si>
  <si>
    <t>1270</t>
  </si>
  <si>
    <t>LOKESH PT</t>
  </si>
  <si>
    <t>10247</t>
  </si>
  <si>
    <t>LOKESH SINGH</t>
  </si>
  <si>
    <t>1566</t>
  </si>
  <si>
    <t>M Ajith Kumar</t>
  </si>
  <si>
    <t>10243</t>
  </si>
  <si>
    <t>M JENARTHAN</t>
  </si>
  <si>
    <t>2447</t>
  </si>
  <si>
    <t>M MANOJ</t>
  </si>
  <si>
    <t>1684</t>
  </si>
  <si>
    <t>M NAVEENKUMAR</t>
  </si>
  <si>
    <t>2234</t>
  </si>
  <si>
    <t>M PREMKUMAR</t>
  </si>
  <si>
    <t>0596</t>
  </si>
  <si>
    <t>M TAMIL SELVAN</t>
  </si>
  <si>
    <t>1357</t>
  </si>
  <si>
    <t>M SUGANYA</t>
  </si>
  <si>
    <t>1490</t>
  </si>
  <si>
    <t>MABBU KISHORE KUMAR</t>
  </si>
  <si>
    <t>0644</t>
  </si>
  <si>
    <t>MADASAMY</t>
  </si>
  <si>
    <t>2332</t>
  </si>
  <si>
    <t>MADHANKUMAR RAJAN</t>
  </si>
  <si>
    <t>1630</t>
  </si>
  <si>
    <t>MADHU S</t>
  </si>
  <si>
    <t>10075</t>
  </si>
  <si>
    <t>MAGIMAIRAJ A</t>
  </si>
  <si>
    <t>2387</t>
  </si>
  <si>
    <t>MAHADEVAN CHINNA MARUTHURAJ</t>
  </si>
  <si>
    <t>2454</t>
  </si>
  <si>
    <t>MAHESHWARI M</t>
  </si>
  <si>
    <t>2334</t>
  </si>
  <si>
    <t>MANICKAM A</t>
  </si>
  <si>
    <t>2539</t>
  </si>
  <si>
    <t>MANIKANDAN</t>
  </si>
  <si>
    <t>1372</t>
  </si>
  <si>
    <t>1708</t>
  </si>
  <si>
    <t>Manikandan M</t>
  </si>
  <si>
    <t>2529</t>
  </si>
  <si>
    <t>MANIKANDAN MAHALINGAM</t>
  </si>
  <si>
    <t>1697</t>
  </si>
  <si>
    <t>MANIKANDAN P H</t>
  </si>
  <si>
    <t>1686</t>
  </si>
  <si>
    <t>MANIKANDAN PANEERSELVAM</t>
  </si>
  <si>
    <t>2369</t>
  </si>
  <si>
    <t>MANIMARAN RAJENDIRAN</t>
  </si>
  <si>
    <t>0264</t>
  </si>
  <si>
    <t>Mankaiyarkarasi  K</t>
  </si>
  <si>
    <t>2034</t>
  </si>
  <si>
    <t>MARIAPPAN M</t>
  </si>
  <si>
    <t>1571</t>
  </si>
  <si>
    <t>MATHANKUMAR MURUGAN</t>
  </si>
  <si>
    <t>2080</t>
  </si>
  <si>
    <t>MD WASEEM AKHTAR</t>
  </si>
  <si>
    <t>2445</t>
  </si>
  <si>
    <t>MEIKANDAN MADHESWARAN</t>
  </si>
  <si>
    <t>2537</t>
  </si>
  <si>
    <t>Meikeerthy  Selvaraj</t>
  </si>
  <si>
    <t>2078</t>
  </si>
  <si>
    <t>MOHAN RAGHAVAN</t>
  </si>
  <si>
    <t>2496</t>
  </si>
  <si>
    <t>MOHAN S</t>
  </si>
  <si>
    <t>2510</t>
  </si>
  <si>
    <t>MOHAN V</t>
  </si>
  <si>
    <t>2405</t>
  </si>
  <si>
    <t>MOHANAKRISHNAN</t>
  </si>
  <si>
    <t>2391</t>
  </si>
  <si>
    <t>MOHANDAS</t>
  </si>
  <si>
    <t>2286</t>
  </si>
  <si>
    <t>MOHANRAJ</t>
  </si>
  <si>
    <t>1441</t>
  </si>
  <si>
    <t>MOHANRAJ K</t>
  </si>
  <si>
    <t>2254</t>
  </si>
  <si>
    <t>MONISHA B</t>
  </si>
  <si>
    <t>0514</t>
  </si>
  <si>
    <t>MUGILAN D</t>
  </si>
  <si>
    <t>1925</t>
  </si>
  <si>
    <t>MURALI DHARAN S</t>
  </si>
  <si>
    <t>1143</t>
  </si>
  <si>
    <t>MURALI MOORTHI</t>
  </si>
  <si>
    <t>0612</t>
  </si>
  <si>
    <t>MURALIKRISHNAN V</t>
  </si>
  <si>
    <t>1753</t>
  </si>
  <si>
    <t>MURUGESH N</t>
  </si>
  <si>
    <t>2536</t>
  </si>
  <si>
    <t>MUTHAMIZHAN N</t>
  </si>
  <si>
    <t>2138</t>
  </si>
  <si>
    <t>MUTHUDHANDAPANI RAMAJAYAM</t>
  </si>
  <si>
    <t>2316</t>
  </si>
  <si>
    <t>MUTHUKUMAR M</t>
  </si>
  <si>
    <t>2406</t>
  </si>
  <si>
    <t>MUTHULAKSHMI .</t>
  </si>
  <si>
    <t>2532</t>
  </si>
  <si>
    <t>MUTHUMATHAVAN RENGARAJAN</t>
  </si>
  <si>
    <t>2487</t>
  </si>
  <si>
    <t>N C GOPI</t>
  </si>
  <si>
    <t>10255</t>
  </si>
  <si>
    <t>NADHIYA S</t>
  </si>
  <si>
    <t>0386</t>
  </si>
  <si>
    <t>NAGULAKONDA VENKATA LEKHENDRACHARI</t>
  </si>
  <si>
    <t>2482</t>
  </si>
  <si>
    <t>NAVEEN</t>
  </si>
  <si>
    <t>1092</t>
  </si>
  <si>
    <t>NITHISH</t>
  </si>
  <si>
    <t>2313</t>
  </si>
  <si>
    <t>NITHISH SIVA B</t>
  </si>
  <si>
    <t>1669</t>
  </si>
  <si>
    <t>NITHIYA S</t>
  </si>
  <si>
    <t>1178</t>
  </si>
  <si>
    <t>NITHYANANDAM R</t>
  </si>
  <si>
    <t>2461</t>
  </si>
  <si>
    <t>NIVETHA R</t>
  </si>
  <si>
    <t>2354</t>
  </si>
  <si>
    <t>P AJITH</t>
  </si>
  <si>
    <t>2115</t>
  </si>
  <si>
    <t>P VIJAYALAKSHMI</t>
  </si>
  <si>
    <t>2171</t>
  </si>
  <si>
    <t>P VITHURAN</t>
  </si>
  <si>
    <t>1830</t>
  </si>
  <si>
    <t>PANDIYARAJAN G</t>
  </si>
  <si>
    <t>2231</t>
  </si>
  <si>
    <t>PANNER SELVAM</t>
  </si>
  <si>
    <t>1973</t>
  </si>
  <si>
    <t>PARANTHAMAN S</t>
  </si>
  <si>
    <t>2524</t>
  </si>
  <si>
    <t>PARTHIBAN P</t>
  </si>
  <si>
    <t>1919</t>
  </si>
  <si>
    <t>PARTHIBAN SEVVATHA MOHANAN</t>
  </si>
  <si>
    <t>0722</t>
  </si>
  <si>
    <t>PEER MOHAMMED MEERAN ABUB SIDDIQ</t>
  </si>
  <si>
    <t>1360</t>
  </si>
  <si>
    <t>PERIANAYAKI  .</t>
  </si>
  <si>
    <t>2448</t>
  </si>
  <si>
    <t>PIRAMMANAYAGAM SANKAR</t>
  </si>
  <si>
    <t>1304</t>
  </si>
  <si>
    <t>POONGAVANAM</t>
  </si>
  <si>
    <t>2538</t>
  </si>
  <si>
    <t>POOVARASAN</t>
  </si>
  <si>
    <t>1677</t>
  </si>
  <si>
    <t>POOVARASAN R</t>
  </si>
  <si>
    <t>0307</t>
  </si>
  <si>
    <t>PRABAGARAN ERRAAPPAN MASTLAMANI</t>
  </si>
  <si>
    <t>0839</t>
  </si>
  <si>
    <t>PRADEEP .</t>
  </si>
  <si>
    <t>2249</t>
  </si>
  <si>
    <t>PRADEEP RAVICHANDRAN</t>
  </si>
  <si>
    <t>1965</t>
  </si>
  <si>
    <t>PRAKASH I</t>
  </si>
  <si>
    <t>1065</t>
  </si>
  <si>
    <t>PRAKASH P</t>
  </si>
  <si>
    <t>1041</t>
  </si>
  <si>
    <t>PRAMITHA K</t>
  </si>
  <si>
    <t>2498</t>
  </si>
  <si>
    <t>PRANESHWAR V</t>
  </si>
  <si>
    <t>1899</t>
  </si>
  <si>
    <t>PRASANTH</t>
  </si>
  <si>
    <t>0863</t>
  </si>
  <si>
    <t>1056</t>
  </si>
  <si>
    <t>PRASANTH SASIKUMAR</t>
  </si>
  <si>
    <t>2430</t>
  </si>
  <si>
    <t>PRASATH R</t>
  </si>
  <si>
    <t>2442</t>
  </si>
  <si>
    <t>PRASEETHA LAKSHMI A</t>
  </si>
  <si>
    <t>2307</t>
  </si>
  <si>
    <t>PRAVEENKUMAR S</t>
  </si>
  <si>
    <t>1316</t>
  </si>
  <si>
    <t>PREETHI  SURESHBABU</t>
  </si>
  <si>
    <t>2463</t>
  </si>
  <si>
    <t>PREM KUMAR K P</t>
  </si>
  <si>
    <t>2292</t>
  </si>
  <si>
    <t>PRIYANKA S</t>
  </si>
  <si>
    <t>1887</t>
  </si>
  <si>
    <t>PUGAZHENDHI</t>
  </si>
  <si>
    <t>1460</t>
  </si>
  <si>
    <t>PUGAZHENDHI DATCHANAMOORTHY</t>
  </si>
  <si>
    <t>0637</t>
  </si>
  <si>
    <t>PUGAZHENTHI</t>
  </si>
  <si>
    <t>2282</t>
  </si>
  <si>
    <t>PUNNIYAKOTTI P</t>
  </si>
  <si>
    <t>0148</t>
  </si>
  <si>
    <t>R DINESH</t>
  </si>
  <si>
    <t>2339</t>
  </si>
  <si>
    <t xml:space="preserve">R MAREES </t>
  </si>
  <si>
    <t>2501</t>
  </si>
  <si>
    <t>R RAMAN</t>
  </si>
  <si>
    <t>2526</t>
  </si>
  <si>
    <t>R SHOBA</t>
  </si>
  <si>
    <t>1467</t>
  </si>
  <si>
    <t>R YUVARAJ</t>
  </si>
  <si>
    <t>1735</t>
  </si>
  <si>
    <t>R.Nagarajan</t>
  </si>
  <si>
    <t>10110</t>
  </si>
  <si>
    <t>RAGUL AMARSINGH</t>
  </si>
  <si>
    <t>1089</t>
  </si>
  <si>
    <t>RAGUL PRAVEEN KUMAR MATHI</t>
  </si>
  <si>
    <t>10148</t>
  </si>
  <si>
    <t>RAHAMATHULLA ABDULLATHIFF</t>
  </si>
  <si>
    <t>2309</t>
  </si>
  <si>
    <t>RAJA S</t>
  </si>
  <si>
    <t>0195</t>
  </si>
  <si>
    <t>RAJA V</t>
  </si>
  <si>
    <t>2101</t>
  </si>
  <si>
    <t>RAJAKUMAR S</t>
  </si>
  <si>
    <t>0360</t>
  </si>
  <si>
    <t>RAJASEKAR U</t>
  </si>
  <si>
    <t>2504</t>
  </si>
  <si>
    <t>RAJESH</t>
  </si>
  <si>
    <t>1606</t>
  </si>
  <si>
    <t>RAJESH A</t>
  </si>
  <si>
    <t>1674</t>
  </si>
  <si>
    <t>RAJESH E</t>
  </si>
  <si>
    <t>2247</t>
  </si>
  <si>
    <t>RAJESH KANNAN</t>
  </si>
  <si>
    <t>2502</t>
  </si>
  <si>
    <t>RAJESH R</t>
  </si>
  <si>
    <t>0086</t>
  </si>
  <si>
    <t>1290</t>
  </si>
  <si>
    <t>RAJKUMAR L</t>
  </si>
  <si>
    <t>0334</t>
  </si>
  <si>
    <t>RAKESH RAJA</t>
  </si>
  <si>
    <t>1527</t>
  </si>
  <si>
    <t>RAMESH S I</t>
  </si>
  <si>
    <t>1098</t>
  </si>
  <si>
    <t>RAMKUMAR PONNURANGAM</t>
  </si>
  <si>
    <t>2305</t>
  </si>
  <si>
    <t>RANJITHA</t>
  </si>
  <si>
    <t>1865</t>
  </si>
  <si>
    <t>RANJITHA S</t>
  </si>
  <si>
    <t>1190</t>
  </si>
  <si>
    <t>RASUKUTTI M</t>
  </si>
  <si>
    <t>0544</t>
  </si>
  <si>
    <t>RAVIN KUMAR N</t>
  </si>
  <si>
    <t>0260</t>
  </si>
  <si>
    <t>RENUKA K</t>
  </si>
  <si>
    <t>2341</t>
  </si>
  <si>
    <t>REX SAMUEL RAMESH</t>
  </si>
  <si>
    <t>2545</t>
  </si>
  <si>
    <t>ROBINSON G</t>
  </si>
  <si>
    <t>2343</t>
  </si>
  <si>
    <t>RONALDO JOSE T</t>
  </si>
  <si>
    <t>2511</t>
  </si>
  <si>
    <t>S BALAJI</t>
  </si>
  <si>
    <t>1795</t>
  </si>
  <si>
    <t>S BOOPATHY</t>
  </si>
  <si>
    <t>1644</t>
  </si>
  <si>
    <t>S K CHAKRAVARTHI B</t>
  </si>
  <si>
    <t>10204</t>
  </si>
  <si>
    <t>S MANIKANDAN</t>
  </si>
  <si>
    <t>2281</t>
  </si>
  <si>
    <t>S PARTHIBAN</t>
  </si>
  <si>
    <t>0559</t>
  </si>
  <si>
    <t>S PRATHISHA</t>
  </si>
  <si>
    <t>2376</t>
  </si>
  <si>
    <t>S R VIGNESH</t>
  </si>
  <si>
    <t>2244</t>
  </si>
  <si>
    <t>S SANJAY</t>
  </si>
  <si>
    <t>1500</t>
  </si>
  <si>
    <t>S SUMATHI</t>
  </si>
  <si>
    <t>1234</t>
  </si>
  <si>
    <t>S SURESH</t>
  </si>
  <si>
    <t>10131</t>
  </si>
  <si>
    <t>S THULASIRAMAN</t>
  </si>
  <si>
    <t>1013</t>
  </si>
  <si>
    <t>S VASANTH</t>
  </si>
  <si>
    <t>1864</t>
  </si>
  <si>
    <t>S VIGNESH</t>
  </si>
  <si>
    <t>0471</t>
  </si>
  <si>
    <t>S VIKRAM</t>
  </si>
  <si>
    <t>2364</t>
  </si>
  <si>
    <t>S.V.Shyam Kumar</t>
  </si>
  <si>
    <t>10055</t>
  </si>
  <si>
    <t>SABARI NATHAN T</t>
  </si>
  <si>
    <t>1920</t>
  </si>
  <si>
    <t>SADHESH  GANESAN</t>
  </si>
  <si>
    <t>2298</t>
  </si>
  <si>
    <t>SADHISH D</t>
  </si>
  <si>
    <t>10080</t>
  </si>
  <si>
    <t>SAIFULLAH R</t>
  </si>
  <si>
    <t>10199</t>
  </si>
  <si>
    <t>SAKTHI GANESH S</t>
  </si>
  <si>
    <t>1858</t>
  </si>
  <si>
    <t>SAKTHIVEL SHANMUGAM</t>
  </si>
  <si>
    <t>2474</t>
  </si>
  <si>
    <t>SANGAVI NAGARAJAN</t>
  </si>
  <si>
    <t>2541</t>
  </si>
  <si>
    <t>SANTHOSH G</t>
  </si>
  <si>
    <t>0123</t>
  </si>
  <si>
    <t>SANTHOSH R</t>
  </si>
  <si>
    <t>2544</t>
  </si>
  <si>
    <t>SANTHOSH S</t>
  </si>
  <si>
    <t>2432</t>
  </si>
  <si>
    <t>SANTHOSHKUMAR SHANMUGAM</t>
  </si>
  <si>
    <t>2304</t>
  </si>
  <si>
    <t>SARABEBE D</t>
  </si>
  <si>
    <t>2308</t>
  </si>
  <si>
    <t>SARANYA M</t>
  </si>
  <si>
    <t>1737</t>
  </si>
  <si>
    <t>SARATHI RAMAKRISHNAN</t>
  </si>
  <si>
    <t>1995</t>
  </si>
  <si>
    <t>SARAVANAN N</t>
  </si>
  <si>
    <t>2314</t>
  </si>
  <si>
    <t>SARAVANAN S</t>
  </si>
  <si>
    <t>2278</t>
  </si>
  <si>
    <t>SASI KUMAR S</t>
  </si>
  <si>
    <t>10043</t>
  </si>
  <si>
    <t>SATHISH KUMAR V</t>
  </si>
  <si>
    <t>1803</t>
  </si>
  <si>
    <t>Sathiya  Raj</t>
  </si>
  <si>
    <t>1946</t>
  </si>
  <si>
    <t>SAVITHIRI .</t>
  </si>
  <si>
    <t>2179</t>
  </si>
  <si>
    <t>SEENUVASAN SAMPATH</t>
  </si>
  <si>
    <t>0620</t>
  </si>
  <si>
    <t>SELVAM ELUMALAI</t>
  </si>
  <si>
    <t>1208</t>
  </si>
  <si>
    <t>SENGUTTUVAN CHAKKARAPANI</t>
  </si>
  <si>
    <t>0762</t>
  </si>
  <si>
    <t>SENTHIL .</t>
  </si>
  <si>
    <t>2543</t>
  </si>
  <si>
    <t>SENTHIL V</t>
  </si>
  <si>
    <t>10144</t>
  </si>
  <si>
    <t>SENTHILVEL M</t>
  </si>
  <si>
    <t>0394</t>
  </si>
  <si>
    <t>SHAHINSHA A</t>
  </si>
  <si>
    <t>0522</t>
  </si>
  <si>
    <t>SHAMBU S KRISHNA</t>
  </si>
  <si>
    <t>2493</t>
  </si>
  <si>
    <t>SHANMUGAPRIYAN</t>
  </si>
  <si>
    <t>1955</t>
  </si>
  <si>
    <t>SHYAM SUNDHAR N</t>
  </si>
  <si>
    <t>2409</t>
  </si>
  <si>
    <t>SIBA PRASAD NAYAK</t>
  </si>
  <si>
    <t>0348</t>
  </si>
  <si>
    <t>SIJO JOSEPH</t>
  </si>
  <si>
    <t>2489</t>
  </si>
  <si>
    <t>SIMIYON POOYAN</t>
  </si>
  <si>
    <t>0766</t>
  </si>
  <si>
    <t>SINNAGURUSAMY G</t>
  </si>
  <si>
    <t>2326</t>
  </si>
  <si>
    <t>SIVAKUMAR M</t>
  </si>
  <si>
    <t>1879</t>
  </si>
  <si>
    <t>SIVAKUMAR R</t>
  </si>
  <si>
    <t>0175</t>
  </si>
  <si>
    <t>SIVAKUMAR V</t>
  </si>
  <si>
    <t>2315</t>
  </si>
  <si>
    <t>SIVANANDHAM SM</t>
  </si>
  <si>
    <t>1154</t>
  </si>
  <si>
    <t>SIVAPRAKASH SELVARAJ</t>
  </si>
  <si>
    <t>2257</t>
  </si>
  <si>
    <t>Sivaraj</t>
  </si>
  <si>
    <t>1986</t>
  </si>
  <si>
    <t>SIVARAJA CHOLAN P</t>
  </si>
  <si>
    <t>2323</t>
  </si>
  <si>
    <t>SIVARAMAN S</t>
  </si>
  <si>
    <t>0849</t>
  </si>
  <si>
    <t>SOORAJ SATHEESAN</t>
  </si>
  <si>
    <t>0829</t>
  </si>
  <si>
    <t>SOUNTI CHETANYA</t>
  </si>
  <si>
    <t>2466</t>
  </si>
  <si>
    <t>SRIDHANALAKSHMI K</t>
  </si>
  <si>
    <t>2380</t>
  </si>
  <si>
    <t>SRINIVASABALAJI B</t>
  </si>
  <si>
    <t>2503</t>
  </si>
  <si>
    <t>SRINIVASAN S</t>
  </si>
  <si>
    <t>2535</t>
  </si>
  <si>
    <t>SUBASH K</t>
  </si>
  <si>
    <t>2205</t>
  </si>
  <si>
    <t>SUBHAM NAYAK</t>
  </si>
  <si>
    <t>0918</t>
  </si>
  <si>
    <t>SUDHA K</t>
  </si>
  <si>
    <t>1223</t>
  </si>
  <si>
    <t>SUDHAN S</t>
  </si>
  <si>
    <t>0044</t>
  </si>
  <si>
    <t>SUGAVANAESWARA R</t>
  </si>
  <si>
    <t>2287</t>
  </si>
  <si>
    <t>SUGUMARAN MUNUSAMY</t>
  </si>
  <si>
    <t>1485</t>
  </si>
  <si>
    <t>SUKUMAR THANGARAJ</t>
  </si>
  <si>
    <t>1561</t>
  </si>
  <si>
    <t>SURESH M</t>
  </si>
  <si>
    <t>2100</t>
  </si>
  <si>
    <t>SURESH P</t>
  </si>
  <si>
    <t>1971</t>
  </si>
  <si>
    <t>SURESH SORAKKA MANI</t>
  </si>
  <si>
    <t>1535</t>
  </si>
  <si>
    <t>SURESHKUMAR S</t>
  </si>
  <si>
    <t>2483</t>
  </si>
  <si>
    <t>SURIYA NARAYANAN</t>
  </si>
  <si>
    <t>2357</t>
  </si>
  <si>
    <t>SURYA PRAKASH S</t>
  </si>
  <si>
    <t>2431</t>
  </si>
  <si>
    <t>SYED JAFER ALI</t>
  </si>
  <si>
    <t>0654</t>
  </si>
  <si>
    <t>T G KARAN</t>
  </si>
  <si>
    <t>10280</t>
  </si>
  <si>
    <t>TAMIL PRIYAN A</t>
  </si>
  <si>
    <t>10032</t>
  </si>
  <si>
    <t>TAMIL SELVAN P</t>
  </si>
  <si>
    <t>0274</t>
  </si>
  <si>
    <t>TAMILARASAN G</t>
  </si>
  <si>
    <t>2481</t>
  </si>
  <si>
    <t>TAMILARASAN R</t>
  </si>
  <si>
    <t>10150</t>
  </si>
  <si>
    <t>TAMILMARAN D</t>
  </si>
  <si>
    <t>0392</t>
  </si>
  <si>
    <t>TAMILSELVAN</t>
  </si>
  <si>
    <t>1000</t>
  </si>
  <si>
    <t>THAMEMUL ANSARI</t>
  </si>
  <si>
    <t>2362</t>
  </si>
  <si>
    <t>THAMIZHSELVAN</t>
  </si>
  <si>
    <t>0017</t>
  </si>
  <si>
    <t>THANGAM</t>
  </si>
  <si>
    <t>1610</t>
  </si>
  <si>
    <t>THAVAMANI S</t>
  </si>
  <si>
    <t>2457</t>
  </si>
  <si>
    <t>THERASA A</t>
  </si>
  <si>
    <t>1247</t>
  </si>
  <si>
    <t>THILAGAVATHI S</t>
  </si>
  <si>
    <t>1548</t>
  </si>
  <si>
    <t>THIYAGARAJAN P</t>
  </si>
  <si>
    <t>2240</t>
  </si>
  <si>
    <t>THULASIRAMAN</t>
  </si>
  <si>
    <t>1662</t>
  </si>
  <si>
    <t>UDAYASHANKAR ELUMALAI</t>
  </si>
  <si>
    <t>2185</t>
  </si>
  <si>
    <t>USHA P</t>
  </si>
  <si>
    <t>2094</t>
  </si>
  <si>
    <t>V AJITH</t>
  </si>
  <si>
    <t>1599</t>
  </si>
  <si>
    <t>V AJITHKUMAR</t>
  </si>
  <si>
    <t>1057</t>
  </si>
  <si>
    <t>V NIRANJAN</t>
  </si>
  <si>
    <t>0972</t>
  </si>
  <si>
    <t>V PARTHASARATHY</t>
  </si>
  <si>
    <t>10047</t>
  </si>
  <si>
    <t>V RAJESHKUMAR</t>
  </si>
  <si>
    <t>2523</t>
  </si>
  <si>
    <t>V SENTHIL KUMAR</t>
  </si>
  <si>
    <t>10006</t>
  </si>
  <si>
    <t>VADIVEL KUMARAN N</t>
  </si>
  <si>
    <t>10117</t>
  </si>
  <si>
    <t>VAIRAMUTHU J JAYAKUMAR</t>
  </si>
  <si>
    <t>1438</t>
  </si>
  <si>
    <t>VALLARASU V</t>
  </si>
  <si>
    <t>1284</t>
  </si>
  <si>
    <t>VANJINATHAN M</t>
  </si>
  <si>
    <t>2209</t>
  </si>
  <si>
    <t>VARADHARAJAN SANDHIRAN</t>
  </si>
  <si>
    <t>0631</t>
  </si>
  <si>
    <t>VASANTHAKUMAR SHANKAR</t>
  </si>
  <si>
    <t>2515</t>
  </si>
  <si>
    <t>VEERAMANI P</t>
  </si>
  <si>
    <t>2540</t>
  </si>
  <si>
    <t>VELLIVEL</t>
  </si>
  <si>
    <t>10242</t>
  </si>
  <si>
    <t>VENGADESAN .</t>
  </si>
  <si>
    <t>2499</t>
  </si>
  <si>
    <t>Vengatesan  G</t>
  </si>
  <si>
    <t>2037</t>
  </si>
  <si>
    <t>VENGATESAN R</t>
  </si>
  <si>
    <t>2525</t>
  </si>
  <si>
    <t>VENKATESH SELLAPPAN</t>
  </si>
  <si>
    <t>2069</t>
  </si>
  <si>
    <t>VETRIKALAIMAGAL .</t>
  </si>
  <si>
    <t>2195</t>
  </si>
  <si>
    <t>VETRIVEL M B</t>
  </si>
  <si>
    <t>1274</t>
  </si>
  <si>
    <t>VETRIVIZHI J</t>
  </si>
  <si>
    <t>2106</t>
  </si>
  <si>
    <t>VIBIN RAJAN RAMESH</t>
  </si>
  <si>
    <t>1048</t>
  </si>
  <si>
    <t>VIGNESH</t>
  </si>
  <si>
    <t>2113</t>
  </si>
  <si>
    <t>VIGNESH ANBUROSE</t>
  </si>
  <si>
    <t>2386</t>
  </si>
  <si>
    <t>VIGNESH NADARAJAN</t>
  </si>
  <si>
    <t>2363</t>
  </si>
  <si>
    <t>VIGNESH P</t>
  </si>
  <si>
    <t>0330</t>
  </si>
  <si>
    <t>VIGNESH R</t>
  </si>
  <si>
    <t>2295</t>
  </si>
  <si>
    <t>VIGNESH S</t>
  </si>
  <si>
    <t>10156</t>
  </si>
  <si>
    <t>VIGNESH V</t>
  </si>
  <si>
    <t>1609</t>
  </si>
  <si>
    <t>VIGNESHWARAN S</t>
  </si>
  <si>
    <t>1613</t>
  </si>
  <si>
    <t>VIJAYAKUMAR N</t>
  </si>
  <si>
    <t>2542</t>
  </si>
  <si>
    <t>VIJAYAKUMAR S</t>
  </si>
  <si>
    <t>0337</t>
  </si>
  <si>
    <t>VIJAYALAKSHMI R</t>
  </si>
  <si>
    <t>1790</t>
  </si>
  <si>
    <t>VIJAYANTONY D</t>
  </si>
  <si>
    <t>2477</t>
  </si>
  <si>
    <t>VIKNESH</t>
  </si>
  <si>
    <t>1767</t>
  </si>
  <si>
    <t>VINOTH R</t>
  </si>
  <si>
    <t>1570</t>
  </si>
  <si>
    <t>VINOTH S</t>
  </si>
  <si>
    <t>2092</t>
  </si>
  <si>
    <t>YUVARAJ KUMAR</t>
  </si>
  <si>
    <t>1565</t>
  </si>
  <si>
    <t>YUVARAJ M</t>
  </si>
  <si>
    <t>1121</t>
  </si>
  <si>
    <t>Total - (D)</t>
  </si>
  <si>
    <t>Total payroll changes during the  Mar/2026</t>
  </si>
  <si>
    <t>(B + D - C)</t>
  </si>
  <si>
    <t xml:space="preserve">As per Mar/2026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</si>
</sst>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4" fontId="1" fillId="2" borderId="2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486"/>
  <sheetViews>
    <sheetView showGridLines="0" tabSelected="1" workbookViewId="0">
      <pane xSplit="2" ySplit="4" topLeftCell="C89" activePane="bottomRight" state="frozen"/>
      <selection pane="topRight" activeCell="C1" sqref="C1"/>
      <selection pane="bottomLeft" activeCell="A5" sqref="A5"/>
      <selection pane="bottomRight" activeCell="AG5" sqref="AG5:AN5"/>
    </sheetView>
  </sheetViews>
  <sheetFormatPr defaultColWidth="9.109375" defaultRowHeight="14.4" x14ac:dyDescent="0.3"/>
  <cols>
    <col min="1" max="1" width="9.109375" style="9"/>
    <col min="2" max="2" width="43.88671875" style="9" customWidth="1"/>
    <col min="3" max="182" width="13.6640625" style="9" customWidth="1"/>
    <col min="183" max="16384" width="9.109375" style="10"/>
  </cols>
  <sheetData>
    <row r="1" spans="1:43" x14ac:dyDescent="0.3">
      <c r="A1" s="7" t="s">
        <v>0</v>
      </c>
      <c r="B1" s="8"/>
    </row>
    <row r="2" spans="1:43" x14ac:dyDescent="0.3">
      <c r="B2" s="11"/>
    </row>
    <row r="3" spans="1:43" x14ac:dyDescent="0.3">
      <c r="A3" s="12" t="s">
        <v>1</v>
      </c>
      <c r="B3" s="13"/>
    </row>
    <row r="4" spans="1:43" x14ac:dyDescent="0.3">
      <c r="A4" s="1"/>
      <c r="B4" s="2"/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23" t="s">
        <v>16</v>
      </c>
      <c r="Q4" s="3" t="s">
        <v>17</v>
      </c>
      <c r="R4" s="23" t="s">
        <v>18</v>
      </c>
      <c r="S4" s="23" t="s">
        <v>19</v>
      </c>
      <c r="T4" s="24" t="s">
        <v>20</v>
      </c>
      <c r="U4" s="24" t="s">
        <v>21</v>
      </c>
      <c r="V4" s="3" t="s">
        <v>22</v>
      </c>
      <c r="W4" s="3" t="s">
        <v>23</v>
      </c>
      <c r="X4" s="23" t="s">
        <v>24</v>
      </c>
      <c r="Y4" s="23" t="s">
        <v>25</v>
      </c>
      <c r="Z4" s="23" t="s">
        <v>26</v>
      </c>
      <c r="AA4" s="23" t="s">
        <v>27</v>
      </c>
      <c r="AB4" s="23" t="s">
        <v>28</v>
      </c>
      <c r="AC4" s="3" t="s">
        <v>29</v>
      </c>
      <c r="AD4" s="23" t="s">
        <v>30</v>
      </c>
      <c r="AE4" s="2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  <c r="AL4" s="3" t="s">
        <v>38</v>
      </c>
      <c r="AM4" s="3" t="s">
        <v>39</v>
      </c>
      <c r="AN4" s="23" t="s">
        <v>40</v>
      </c>
      <c r="AO4" s="3" t="s">
        <v>41</v>
      </c>
      <c r="AP4" s="3" t="s">
        <v>42</v>
      </c>
      <c r="AQ4" s="3" t="s">
        <v>43</v>
      </c>
    </row>
    <row r="5" spans="1:43" ht="15" thickBot="1" x14ac:dyDescent="0.35">
      <c r="A5" s="7"/>
      <c r="B5" s="8" t="s">
        <v>2</v>
      </c>
      <c r="C5" s="14">
        <v>6467023</v>
      </c>
      <c r="D5" s="14">
        <v>3527452</v>
      </c>
      <c r="E5" s="14">
        <v>587954</v>
      </c>
      <c r="F5" s="14">
        <v>823106</v>
      </c>
      <c r="G5" s="14">
        <v>352786</v>
      </c>
      <c r="H5" s="14">
        <v>47000</v>
      </c>
      <c r="I5" s="14">
        <v>144048.07</v>
      </c>
      <c r="J5" s="14">
        <v>970868</v>
      </c>
      <c r="K5" s="14">
        <v>1452305</v>
      </c>
      <c r="L5" s="14">
        <v>8214</v>
      </c>
      <c r="M5" s="14">
        <v>785076.42</v>
      </c>
      <c r="N5" s="14">
        <v>13500</v>
      </c>
      <c r="O5" s="14">
        <v>665427</v>
      </c>
      <c r="P5" s="14">
        <v>40000</v>
      </c>
      <c r="Q5" s="14">
        <v>37596.400000000001</v>
      </c>
      <c r="R5" s="14">
        <v>1907</v>
      </c>
      <c r="S5" s="14">
        <v>8270</v>
      </c>
      <c r="T5" s="14">
        <v>472</v>
      </c>
      <c r="U5" s="14">
        <v>2050</v>
      </c>
      <c r="V5" s="14">
        <v>664955</v>
      </c>
      <c r="W5" s="14">
        <v>7393919.9199999999</v>
      </c>
      <c r="X5" s="14">
        <v>30000</v>
      </c>
      <c r="Y5" s="14">
        <v>225</v>
      </c>
      <c r="Z5" s="14">
        <v>975</v>
      </c>
      <c r="AA5" s="14">
        <v>29025</v>
      </c>
      <c r="AB5" s="14">
        <v>3000</v>
      </c>
      <c r="AC5" s="14">
        <v>3251247</v>
      </c>
      <c r="AD5" s="14">
        <v>1218419</v>
      </c>
      <c r="AE5" s="14">
        <v>1216512</v>
      </c>
      <c r="AF5" s="14">
        <v>15009568</v>
      </c>
      <c r="AG5" s="14">
        <v>887272</v>
      </c>
      <c r="AH5" s="14">
        <v>10936</v>
      </c>
      <c r="AI5" s="14">
        <v>86252</v>
      </c>
      <c r="AJ5" s="14">
        <v>344000</v>
      </c>
      <c r="AK5" s="14">
        <v>200937</v>
      </c>
      <c r="AL5" s="14">
        <v>25000</v>
      </c>
      <c r="AM5" s="14">
        <v>670209.6</v>
      </c>
      <c r="AN5" s="14">
        <v>2500</v>
      </c>
      <c r="AO5" s="14">
        <v>2227106.6</v>
      </c>
      <c r="AP5" s="14">
        <v>12782461</v>
      </c>
      <c r="AQ5" s="15">
        <v>437</v>
      </c>
    </row>
    <row r="6" spans="1:43" ht="15" thickTop="1" x14ac:dyDescent="0.3">
      <c r="A6" s="7" t="s">
        <v>44</v>
      </c>
      <c r="B6" s="8"/>
    </row>
    <row r="7" spans="1:43" x14ac:dyDescent="0.3">
      <c r="A7" s="7" t="s">
        <v>45</v>
      </c>
      <c r="B7" s="8" t="s">
        <v>46</v>
      </c>
    </row>
    <row r="8" spans="1:43" x14ac:dyDescent="0.3">
      <c r="A8" s="9" t="s">
        <v>47</v>
      </c>
      <c r="B8" s="11" t="s">
        <v>48</v>
      </c>
      <c r="C8" s="16">
        <v>9474</v>
      </c>
      <c r="D8" s="16">
        <v>5168</v>
      </c>
      <c r="E8" s="16">
        <v>861</v>
      </c>
      <c r="F8" s="16">
        <v>1206</v>
      </c>
      <c r="G8" s="16">
        <v>517</v>
      </c>
      <c r="H8" s="16">
        <v>0</v>
      </c>
      <c r="I8" s="16">
        <v>0</v>
      </c>
      <c r="J8" s="16">
        <v>0</v>
      </c>
      <c r="K8" s="16">
        <v>17226</v>
      </c>
      <c r="L8" s="16">
        <v>0</v>
      </c>
      <c r="M8" s="16">
        <v>890</v>
      </c>
      <c r="N8" s="16">
        <v>0</v>
      </c>
      <c r="O8" s="16">
        <v>848</v>
      </c>
      <c r="P8" s="16">
        <v>0</v>
      </c>
      <c r="Q8" s="16">
        <v>98.5</v>
      </c>
      <c r="R8" s="16">
        <v>0</v>
      </c>
      <c r="S8" s="16">
        <v>0</v>
      </c>
      <c r="T8" s="16">
        <v>6</v>
      </c>
      <c r="U8" s="16">
        <v>28</v>
      </c>
      <c r="V8" s="16">
        <v>842</v>
      </c>
      <c r="W8" s="16">
        <v>12058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17226</v>
      </c>
      <c r="AG8" s="16">
        <v>1447</v>
      </c>
      <c r="AH8" s="16">
        <v>130</v>
      </c>
      <c r="AI8" s="16">
        <v>208</v>
      </c>
      <c r="AJ8" s="16">
        <v>0</v>
      </c>
      <c r="AK8" s="16">
        <v>581</v>
      </c>
      <c r="AL8" s="16">
        <v>0</v>
      </c>
      <c r="AM8" s="16">
        <v>0</v>
      </c>
      <c r="AN8" s="16">
        <v>0</v>
      </c>
      <c r="AO8" s="16">
        <v>2366</v>
      </c>
      <c r="AP8" s="16">
        <v>14860</v>
      </c>
      <c r="AQ8" s="9">
        <v>1</v>
      </c>
    </row>
    <row r="9" spans="1:43" x14ac:dyDescent="0.3">
      <c r="A9" s="9" t="s">
        <v>50</v>
      </c>
      <c r="B9" s="11" t="s">
        <v>49</v>
      </c>
      <c r="C9" s="16">
        <v>11406</v>
      </c>
      <c r="D9" s="16">
        <v>6222</v>
      </c>
      <c r="E9" s="16">
        <v>1037</v>
      </c>
      <c r="F9" s="16">
        <v>1452</v>
      </c>
      <c r="G9" s="16">
        <v>622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1232</v>
      </c>
      <c r="N9" s="16">
        <v>0</v>
      </c>
      <c r="O9" s="16">
        <v>1073</v>
      </c>
      <c r="P9" s="16">
        <v>0</v>
      </c>
      <c r="Q9" s="16">
        <v>90</v>
      </c>
      <c r="R9" s="16">
        <v>0</v>
      </c>
      <c r="S9" s="16">
        <v>0</v>
      </c>
      <c r="T9" s="16">
        <v>0</v>
      </c>
      <c r="U9" s="16">
        <v>0</v>
      </c>
      <c r="V9" s="16">
        <v>1073</v>
      </c>
      <c r="W9" s="16">
        <v>14517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3097</v>
      </c>
      <c r="AD9" s="16">
        <v>0</v>
      </c>
      <c r="AE9" s="16">
        <v>0</v>
      </c>
      <c r="AF9" s="16">
        <v>23836</v>
      </c>
      <c r="AG9" s="16">
        <v>1742</v>
      </c>
      <c r="AH9" s="16">
        <v>0</v>
      </c>
      <c r="AI9" s="16">
        <v>208</v>
      </c>
      <c r="AJ9" s="16">
        <v>0</v>
      </c>
      <c r="AK9" s="16">
        <v>581</v>
      </c>
      <c r="AL9" s="16">
        <v>0</v>
      </c>
      <c r="AM9" s="16">
        <v>0</v>
      </c>
      <c r="AN9" s="16">
        <v>0</v>
      </c>
      <c r="AO9" s="16">
        <v>2531</v>
      </c>
      <c r="AP9" s="16">
        <v>21305</v>
      </c>
      <c r="AQ9" s="9">
        <v>1</v>
      </c>
    </row>
    <row r="10" spans="1:43" x14ac:dyDescent="0.3">
      <c r="A10" s="9" t="s">
        <v>52</v>
      </c>
      <c r="B10" s="11" t="s">
        <v>51</v>
      </c>
      <c r="C10" s="16">
        <v>9158</v>
      </c>
      <c r="D10" s="16">
        <v>4995</v>
      </c>
      <c r="E10" s="16">
        <v>833</v>
      </c>
      <c r="F10" s="16">
        <v>1166</v>
      </c>
      <c r="G10" s="16">
        <v>500</v>
      </c>
      <c r="H10" s="16">
        <v>0</v>
      </c>
      <c r="I10" s="16">
        <v>0</v>
      </c>
      <c r="J10" s="16">
        <v>0</v>
      </c>
      <c r="K10" s="16">
        <v>16652</v>
      </c>
      <c r="L10" s="16">
        <v>0</v>
      </c>
      <c r="M10" s="16">
        <v>890</v>
      </c>
      <c r="N10" s="16">
        <v>0</v>
      </c>
      <c r="O10" s="16">
        <v>820</v>
      </c>
      <c r="P10" s="16">
        <v>0</v>
      </c>
      <c r="Q10" s="16">
        <v>98.5</v>
      </c>
      <c r="R10" s="16">
        <v>0</v>
      </c>
      <c r="S10" s="16">
        <v>0</v>
      </c>
      <c r="T10" s="16">
        <v>6</v>
      </c>
      <c r="U10" s="16">
        <v>27</v>
      </c>
      <c r="V10" s="16">
        <v>814</v>
      </c>
      <c r="W10" s="16">
        <v>11657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16652</v>
      </c>
      <c r="AG10" s="16">
        <v>1399</v>
      </c>
      <c r="AH10" s="16">
        <v>125</v>
      </c>
      <c r="AI10" s="16">
        <v>208</v>
      </c>
      <c r="AJ10" s="16">
        <v>0</v>
      </c>
      <c r="AK10" s="16">
        <v>561</v>
      </c>
      <c r="AL10" s="16">
        <v>0</v>
      </c>
      <c r="AM10" s="16">
        <v>0</v>
      </c>
      <c r="AN10" s="16">
        <v>0</v>
      </c>
      <c r="AO10" s="16">
        <v>2293</v>
      </c>
      <c r="AP10" s="16">
        <v>14359</v>
      </c>
      <c r="AQ10" s="9">
        <v>1</v>
      </c>
    </row>
    <row r="11" spans="1:43" x14ac:dyDescent="0.3">
      <c r="A11" s="9" t="s">
        <v>54</v>
      </c>
      <c r="B11" s="11" t="s">
        <v>53</v>
      </c>
      <c r="C11" s="16">
        <v>9158</v>
      </c>
      <c r="D11" s="16">
        <v>4995</v>
      </c>
      <c r="E11" s="16">
        <v>833</v>
      </c>
      <c r="F11" s="16">
        <v>1166</v>
      </c>
      <c r="G11" s="16">
        <v>500</v>
      </c>
      <c r="H11" s="16">
        <v>0</v>
      </c>
      <c r="I11" s="16">
        <v>0</v>
      </c>
      <c r="J11" s="16">
        <v>0</v>
      </c>
      <c r="K11" s="16">
        <v>16652</v>
      </c>
      <c r="L11" s="16">
        <v>0</v>
      </c>
      <c r="M11" s="16">
        <v>890</v>
      </c>
      <c r="N11" s="16">
        <v>0</v>
      </c>
      <c r="O11" s="16">
        <v>791</v>
      </c>
      <c r="P11" s="16">
        <v>0</v>
      </c>
      <c r="Q11" s="16">
        <v>95</v>
      </c>
      <c r="R11" s="16">
        <v>0</v>
      </c>
      <c r="S11" s="16">
        <v>0</v>
      </c>
      <c r="T11" s="16">
        <v>6</v>
      </c>
      <c r="U11" s="16">
        <v>26</v>
      </c>
      <c r="V11" s="16">
        <v>785</v>
      </c>
      <c r="W11" s="16">
        <v>11657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16652</v>
      </c>
      <c r="AG11" s="16">
        <v>1399</v>
      </c>
      <c r="AH11" s="16">
        <v>125</v>
      </c>
      <c r="AI11" s="16">
        <v>208</v>
      </c>
      <c r="AJ11" s="16">
        <v>0</v>
      </c>
      <c r="AK11" s="16">
        <v>561</v>
      </c>
      <c r="AL11" s="16">
        <v>0</v>
      </c>
      <c r="AM11" s="16">
        <v>0</v>
      </c>
      <c r="AN11" s="16">
        <v>0</v>
      </c>
      <c r="AO11" s="16">
        <v>2293</v>
      </c>
      <c r="AP11" s="16">
        <v>14359</v>
      </c>
      <c r="AQ11" s="9">
        <v>1</v>
      </c>
    </row>
    <row r="12" spans="1:43" x14ac:dyDescent="0.3">
      <c r="A12" s="9" t="s">
        <v>56</v>
      </c>
      <c r="B12" s="11" t="s">
        <v>55</v>
      </c>
      <c r="C12" s="16">
        <v>9158</v>
      </c>
      <c r="D12" s="16">
        <v>4995</v>
      </c>
      <c r="E12" s="16">
        <v>833</v>
      </c>
      <c r="F12" s="16">
        <v>1166</v>
      </c>
      <c r="G12" s="16">
        <v>500</v>
      </c>
      <c r="H12" s="16">
        <v>0</v>
      </c>
      <c r="I12" s="16">
        <v>0</v>
      </c>
      <c r="J12" s="16">
        <v>0</v>
      </c>
      <c r="K12" s="16">
        <v>16652</v>
      </c>
      <c r="L12" s="16">
        <v>0</v>
      </c>
      <c r="M12" s="16">
        <v>890</v>
      </c>
      <c r="N12" s="16">
        <v>0</v>
      </c>
      <c r="O12" s="16">
        <v>749</v>
      </c>
      <c r="P12" s="16">
        <v>0</v>
      </c>
      <c r="Q12" s="16">
        <v>90</v>
      </c>
      <c r="R12" s="16">
        <v>0</v>
      </c>
      <c r="S12" s="16">
        <v>0</v>
      </c>
      <c r="T12" s="16">
        <v>6</v>
      </c>
      <c r="U12" s="16">
        <v>24</v>
      </c>
      <c r="V12" s="16">
        <v>743</v>
      </c>
      <c r="W12" s="16">
        <v>11657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16652</v>
      </c>
      <c r="AG12" s="16">
        <v>1399</v>
      </c>
      <c r="AH12" s="16">
        <v>125</v>
      </c>
      <c r="AI12" s="16">
        <v>208</v>
      </c>
      <c r="AJ12" s="16">
        <v>0</v>
      </c>
      <c r="AK12" s="16">
        <v>561</v>
      </c>
      <c r="AL12" s="16">
        <v>0</v>
      </c>
      <c r="AM12" s="16">
        <v>0</v>
      </c>
      <c r="AN12" s="16">
        <v>0</v>
      </c>
      <c r="AO12" s="16">
        <v>2293</v>
      </c>
      <c r="AP12" s="16">
        <v>14359</v>
      </c>
      <c r="AQ12" s="9">
        <v>1</v>
      </c>
    </row>
    <row r="13" spans="1:43" x14ac:dyDescent="0.3">
      <c r="A13" s="9" t="s">
        <v>58</v>
      </c>
      <c r="B13" s="11" t="s">
        <v>57</v>
      </c>
      <c r="C13" s="16">
        <v>9158</v>
      </c>
      <c r="D13" s="16">
        <v>4995</v>
      </c>
      <c r="E13" s="16">
        <v>833</v>
      </c>
      <c r="F13" s="16">
        <v>1166</v>
      </c>
      <c r="G13" s="16">
        <v>500</v>
      </c>
      <c r="H13" s="16">
        <v>0</v>
      </c>
      <c r="I13" s="16">
        <v>0</v>
      </c>
      <c r="J13" s="16">
        <v>0</v>
      </c>
      <c r="K13" s="16">
        <v>16652</v>
      </c>
      <c r="L13" s="16">
        <v>0</v>
      </c>
      <c r="M13" s="16">
        <v>890</v>
      </c>
      <c r="N13" s="16">
        <v>0</v>
      </c>
      <c r="O13" s="16">
        <v>749</v>
      </c>
      <c r="P13" s="16">
        <v>0</v>
      </c>
      <c r="Q13" s="16">
        <v>90</v>
      </c>
      <c r="R13" s="16">
        <v>0</v>
      </c>
      <c r="S13" s="16">
        <v>0</v>
      </c>
      <c r="T13" s="16">
        <v>6</v>
      </c>
      <c r="U13" s="16">
        <v>24</v>
      </c>
      <c r="V13" s="16">
        <v>743</v>
      </c>
      <c r="W13" s="16">
        <v>11657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16652</v>
      </c>
      <c r="AG13" s="16">
        <v>1399</v>
      </c>
      <c r="AH13" s="16">
        <v>125</v>
      </c>
      <c r="AI13" s="16">
        <v>208</v>
      </c>
      <c r="AJ13" s="16">
        <v>0</v>
      </c>
      <c r="AK13" s="16">
        <v>561</v>
      </c>
      <c r="AL13" s="16">
        <v>0</v>
      </c>
      <c r="AM13" s="16">
        <v>0</v>
      </c>
      <c r="AN13" s="16">
        <v>0</v>
      </c>
      <c r="AO13" s="16">
        <v>2293</v>
      </c>
      <c r="AP13" s="16">
        <v>14359</v>
      </c>
      <c r="AQ13" s="9">
        <v>1</v>
      </c>
    </row>
    <row r="14" spans="1:43" x14ac:dyDescent="0.3">
      <c r="A14" s="9" t="s">
        <v>60</v>
      </c>
      <c r="B14" s="11" t="s">
        <v>59</v>
      </c>
      <c r="C14" s="16">
        <v>9158</v>
      </c>
      <c r="D14" s="16">
        <v>4995</v>
      </c>
      <c r="E14" s="16">
        <v>833</v>
      </c>
      <c r="F14" s="16">
        <v>1166</v>
      </c>
      <c r="G14" s="16">
        <v>500</v>
      </c>
      <c r="H14" s="16">
        <v>0</v>
      </c>
      <c r="I14" s="16">
        <v>0</v>
      </c>
      <c r="J14" s="16">
        <v>0</v>
      </c>
      <c r="K14" s="16">
        <v>16652</v>
      </c>
      <c r="L14" s="16">
        <v>0</v>
      </c>
      <c r="M14" s="16">
        <v>890</v>
      </c>
      <c r="N14" s="16">
        <v>0</v>
      </c>
      <c r="O14" s="16">
        <v>749</v>
      </c>
      <c r="P14" s="16">
        <v>0</v>
      </c>
      <c r="Q14" s="16">
        <v>90</v>
      </c>
      <c r="R14" s="16">
        <v>0</v>
      </c>
      <c r="S14" s="16">
        <v>0</v>
      </c>
      <c r="T14" s="16">
        <v>6</v>
      </c>
      <c r="U14" s="16">
        <v>24</v>
      </c>
      <c r="V14" s="16">
        <v>743</v>
      </c>
      <c r="W14" s="16">
        <v>11657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16652</v>
      </c>
      <c r="AG14" s="16">
        <v>1399</v>
      </c>
      <c r="AH14" s="16">
        <v>125</v>
      </c>
      <c r="AI14" s="16">
        <v>208</v>
      </c>
      <c r="AJ14" s="16">
        <v>0</v>
      </c>
      <c r="AK14" s="16">
        <v>561</v>
      </c>
      <c r="AL14" s="16">
        <v>0</v>
      </c>
      <c r="AM14" s="16">
        <v>0</v>
      </c>
      <c r="AN14" s="16">
        <v>0</v>
      </c>
      <c r="AO14" s="16">
        <v>2293</v>
      </c>
      <c r="AP14" s="16">
        <v>14359</v>
      </c>
      <c r="AQ14" s="9">
        <v>1</v>
      </c>
    </row>
    <row r="15" spans="1:43" x14ac:dyDescent="0.3">
      <c r="A15" s="9" t="s">
        <v>62</v>
      </c>
      <c r="B15" s="11" t="s">
        <v>61</v>
      </c>
      <c r="C15" s="16">
        <v>9158</v>
      </c>
      <c r="D15" s="16">
        <v>4995</v>
      </c>
      <c r="E15" s="16">
        <v>833</v>
      </c>
      <c r="F15" s="16">
        <v>1166</v>
      </c>
      <c r="G15" s="16">
        <v>500</v>
      </c>
      <c r="H15" s="16">
        <v>0</v>
      </c>
      <c r="I15" s="16">
        <v>0</v>
      </c>
      <c r="J15" s="16">
        <v>0</v>
      </c>
      <c r="K15" s="16">
        <v>16652</v>
      </c>
      <c r="L15" s="16">
        <v>0</v>
      </c>
      <c r="M15" s="16">
        <v>890</v>
      </c>
      <c r="N15" s="16">
        <v>0</v>
      </c>
      <c r="O15" s="16">
        <v>749</v>
      </c>
      <c r="P15" s="16">
        <v>0</v>
      </c>
      <c r="Q15" s="16">
        <v>90</v>
      </c>
      <c r="R15" s="16">
        <v>0</v>
      </c>
      <c r="S15" s="16">
        <v>0</v>
      </c>
      <c r="T15" s="16">
        <v>6</v>
      </c>
      <c r="U15" s="16">
        <v>24</v>
      </c>
      <c r="V15" s="16">
        <v>743</v>
      </c>
      <c r="W15" s="16">
        <v>11657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16652</v>
      </c>
      <c r="AG15" s="16">
        <v>1399</v>
      </c>
      <c r="AH15" s="16">
        <v>125</v>
      </c>
      <c r="AI15" s="16">
        <v>208</v>
      </c>
      <c r="AJ15" s="16">
        <v>0</v>
      </c>
      <c r="AK15" s="16">
        <v>561</v>
      </c>
      <c r="AL15" s="16">
        <v>0</v>
      </c>
      <c r="AM15" s="16">
        <v>0</v>
      </c>
      <c r="AN15" s="16">
        <v>0</v>
      </c>
      <c r="AO15" s="16">
        <v>2293</v>
      </c>
      <c r="AP15" s="16">
        <v>14359</v>
      </c>
      <c r="AQ15" s="9">
        <v>1</v>
      </c>
    </row>
    <row r="16" spans="1:43" x14ac:dyDescent="0.3">
      <c r="A16" s="9" t="s">
        <v>64</v>
      </c>
      <c r="B16" s="11" t="s">
        <v>63</v>
      </c>
      <c r="C16" s="16">
        <v>9158</v>
      </c>
      <c r="D16" s="16">
        <v>4995</v>
      </c>
      <c r="E16" s="16">
        <v>833</v>
      </c>
      <c r="F16" s="16">
        <v>1166</v>
      </c>
      <c r="G16" s="16">
        <v>500</v>
      </c>
      <c r="H16" s="16">
        <v>0</v>
      </c>
      <c r="I16" s="16">
        <v>0</v>
      </c>
      <c r="J16" s="16">
        <v>0</v>
      </c>
      <c r="K16" s="16">
        <v>16652</v>
      </c>
      <c r="L16" s="16">
        <v>0</v>
      </c>
      <c r="M16" s="16">
        <v>890</v>
      </c>
      <c r="N16" s="16">
        <v>0</v>
      </c>
      <c r="O16" s="16">
        <v>749</v>
      </c>
      <c r="P16" s="16">
        <v>0</v>
      </c>
      <c r="Q16" s="16">
        <v>90</v>
      </c>
      <c r="R16" s="16">
        <v>0</v>
      </c>
      <c r="S16" s="16">
        <v>0</v>
      </c>
      <c r="T16" s="16">
        <v>6</v>
      </c>
      <c r="U16" s="16">
        <v>24</v>
      </c>
      <c r="V16" s="16">
        <v>743</v>
      </c>
      <c r="W16" s="16">
        <v>11657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16652</v>
      </c>
      <c r="AG16" s="16">
        <v>1399</v>
      </c>
      <c r="AH16" s="16">
        <v>125</v>
      </c>
      <c r="AI16" s="16">
        <v>208</v>
      </c>
      <c r="AJ16" s="16">
        <v>0</v>
      </c>
      <c r="AK16" s="16">
        <v>561</v>
      </c>
      <c r="AL16" s="16">
        <v>0</v>
      </c>
      <c r="AM16" s="16">
        <v>0</v>
      </c>
      <c r="AN16" s="16">
        <v>0</v>
      </c>
      <c r="AO16" s="16">
        <v>2293</v>
      </c>
      <c r="AP16" s="16">
        <v>14359</v>
      </c>
      <c r="AQ16" s="9">
        <v>1</v>
      </c>
    </row>
    <row r="17" spans="1:43" x14ac:dyDescent="0.3">
      <c r="A17" s="9" t="s">
        <v>66</v>
      </c>
      <c r="B17" s="11" t="s">
        <v>65</v>
      </c>
      <c r="C17" s="16">
        <v>8211</v>
      </c>
      <c r="D17" s="16">
        <v>4479</v>
      </c>
      <c r="E17" s="16">
        <v>746</v>
      </c>
      <c r="F17" s="16">
        <v>1045</v>
      </c>
      <c r="G17" s="16">
        <v>448</v>
      </c>
      <c r="H17" s="16">
        <v>0</v>
      </c>
      <c r="I17" s="16">
        <v>0</v>
      </c>
      <c r="J17" s="16">
        <v>0</v>
      </c>
      <c r="K17" s="16">
        <v>14929</v>
      </c>
      <c r="L17" s="16">
        <v>0</v>
      </c>
      <c r="M17" s="16">
        <v>890</v>
      </c>
      <c r="N17" s="16">
        <v>0</v>
      </c>
      <c r="O17" s="16">
        <v>672</v>
      </c>
      <c r="P17" s="16">
        <v>0</v>
      </c>
      <c r="Q17" s="16">
        <v>90</v>
      </c>
      <c r="R17" s="16">
        <v>0</v>
      </c>
      <c r="S17" s="16">
        <v>0</v>
      </c>
      <c r="T17" s="16">
        <v>5</v>
      </c>
      <c r="U17" s="16">
        <v>22</v>
      </c>
      <c r="V17" s="16">
        <v>667</v>
      </c>
      <c r="W17" s="16">
        <v>10450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14929</v>
      </c>
      <c r="AG17" s="16">
        <v>1254</v>
      </c>
      <c r="AH17" s="16">
        <v>112</v>
      </c>
      <c r="AI17" s="16">
        <v>208</v>
      </c>
      <c r="AJ17" s="16">
        <v>0</v>
      </c>
      <c r="AK17" s="16">
        <v>503</v>
      </c>
      <c r="AL17" s="16">
        <v>0</v>
      </c>
      <c r="AM17" s="16">
        <v>0</v>
      </c>
      <c r="AN17" s="16">
        <v>0</v>
      </c>
      <c r="AO17" s="16">
        <v>2077</v>
      </c>
      <c r="AP17" s="16">
        <v>12852</v>
      </c>
      <c r="AQ17" s="9">
        <v>1</v>
      </c>
    </row>
    <row r="18" spans="1:43" x14ac:dyDescent="0.3">
      <c r="A18" s="9" t="s">
        <v>68</v>
      </c>
      <c r="B18" s="11" t="s">
        <v>67</v>
      </c>
      <c r="C18" s="16">
        <v>8843</v>
      </c>
      <c r="D18" s="16">
        <v>4823</v>
      </c>
      <c r="E18" s="16">
        <v>804</v>
      </c>
      <c r="F18" s="16">
        <v>1125</v>
      </c>
      <c r="G18" s="16">
        <v>482</v>
      </c>
      <c r="H18" s="16">
        <v>0</v>
      </c>
      <c r="I18" s="16">
        <v>0</v>
      </c>
      <c r="J18" s="16">
        <v>0</v>
      </c>
      <c r="K18" s="16">
        <v>16077</v>
      </c>
      <c r="L18" s="16">
        <v>0</v>
      </c>
      <c r="M18" s="16">
        <v>890</v>
      </c>
      <c r="N18" s="16">
        <v>0</v>
      </c>
      <c r="O18" s="16">
        <v>764</v>
      </c>
      <c r="P18" s="16">
        <v>0</v>
      </c>
      <c r="Q18" s="16">
        <v>95</v>
      </c>
      <c r="R18" s="16">
        <v>0</v>
      </c>
      <c r="S18" s="16">
        <v>0</v>
      </c>
      <c r="T18" s="16">
        <v>6</v>
      </c>
      <c r="U18" s="16">
        <v>25</v>
      </c>
      <c r="V18" s="16">
        <v>758</v>
      </c>
      <c r="W18" s="16">
        <v>11254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16077</v>
      </c>
      <c r="AG18" s="16">
        <v>1350</v>
      </c>
      <c r="AH18" s="16">
        <v>121</v>
      </c>
      <c r="AI18" s="16">
        <v>208</v>
      </c>
      <c r="AJ18" s="16">
        <v>0</v>
      </c>
      <c r="AK18" s="16">
        <v>542</v>
      </c>
      <c r="AL18" s="16">
        <v>0</v>
      </c>
      <c r="AM18" s="16">
        <v>0</v>
      </c>
      <c r="AN18" s="16">
        <v>0</v>
      </c>
      <c r="AO18" s="16">
        <v>2221</v>
      </c>
      <c r="AP18" s="16">
        <v>13856</v>
      </c>
      <c r="AQ18" s="9">
        <v>1</v>
      </c>
    </row>
    <row r="19" spans="1:43" x14ac:dyDescent="0.3">
      <c r="A19" s="9" t="s">
        <v>70</v>
      </c>
      <c r="B19" s="11" t="s">
        <v>69</v>
      </c>
      <c r="C19" s="16">
        <v>9885</v>
      </c>
      <c r="D19" s="16">
        <v>5392</v>
      </c>
      <c r="E19" s="16">
        <v>899</v>
      </c>
      <c r="F19" s="16">
        <v>1258</v>
      </c>
      <c r="G19" s="16">
        <v>539</v>
      </c>
      <c r="H19" s="16">
        <v>0</v>
      </c>
      <c r="I19" s="16">
        <v>538</v>
      </c>
      <c r="J19" s="16">
        <v>453</v>
      </c>
      <c r="K19" s="16">
        <v>0</v>
      </c>
      <c r="L19" s="16">
        <v>4</v>
      </c>
      <c r="M19" s="16">
        <v>1139</v>
      </c>
      <c r="N19" s="16">
        <v>0</v>
      </c>
      <c r="O19" s="16">
        <v>884</v>
      </c>
      <c r="P19" s="16">
        <v>0</v>
      </c>
      <c r="Q19" s="16">
        <v>92.5</v>
      </c>
      <c r="R19" s="16">
        <v>0</v>
      </c>
      <c r="S19" s="16">
        <v>0</v>
      </c>
      <c r="T19" s="16">
        <v>0</v>
      </c>
      <c r="U19" s="16">
        <v>0</v>
      </c>
      <c r="V19" s="16">
        <v>884</v>
      </c>
      <c r="W19" s="16">
        <v>12581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1132</v>
      </c>
      <c r="AD19" s="16">
        <v>991</v>
      </c>
      <c r="AE19" s="16">
        <v>991</v>
      </c>
      <c r="AF19" s="16">
        <v>19105</v>
      </c>
      <c r="AG19" s="16">
        <v>1510</v>
      </c>
      <c r="AH19" s="16">
        <v>0</v>
      </c>
      <c r="AI19" s="16">
        <v>208</v>
      </c>
      <c r="AJ19" s="16">
        <v>0</v>
      </c>
      <c r="AK19" s="16">
        <v>503</v>
      </c>
      <c r="AL19" s="16">
        <v>0</v>
      </c>
      <c r="AM19" s="16">
        <v>0</v>
      </c>
      <c r="AN19" s="16">
        <v>0</v>
      </c>
      <c r="AO19" s="16">
        <v>2221</v>
      </c>
      <c r="AP19" s="16">
        <v>16884</v>
      </c>
      <c r="AQ19" s="9">
        <v>1</v>
      </c>
    </row>
    <row r="20" spans="1:43" x14ac:dyDescent="0.3">
      <c r="A20" s="9" t="s">
        <v>72</v>
      </c>
      <c r="B20" s="11" t="s">
        <v>71</v>
      </c>
      <c r="C20" s="16">
        <v>12419</v>
      </c>
      <c r="D20" s="16">
        <v>6774</v>
      </c>
      <c r="E20" s="16">
        <v>1129</v>
      </c>
      <c r="F20" s="16">
        <v>1581</v>
      </c>
      <c r="G20" s="16">
        <v>677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1450</v>
      </c>
      <c r="N20" s="16">
        <v>0</v>
      </c>
      <c r="O20" s="16">
        <v>988</v>
      </c>
      <c r="P20" s="16">
        <v>0</v>
      </c>
      <c r="Q20" s="16">
        <v>84.5</v>
      </c>
      <c r="R20" s="16">
        <v>0</v>
      </c>
      <c r="S20" s="16">
        <v>0</v>
      </c>
      <c r="T20" s="16">
        <v>0</v>
      </c>
      <c r="U20" s="16">
        <v>0</v>
      </c>
      <c r="V20" s="16">
        <v>988</v>
      </c>
      <c r="W20" s="16">
        <v>15000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806</v>
      </c>
      <c r="AD20" s="16">
        <v>0</v>
      </c>
      <c r="AE20" s="16">
        <v>0</v>
      </c>
      <c r="AF20" s="16">
        <v>23386</v>
      </c>
      <c r="AG20" s="16">
        <v>1800</v>
      </c>
      <c r="AH20" s="16">
        <v>0</v>
      </c>
      <c r="AI20" s="16">
        <v>208</v>
      </c>
      <c r="AJ20" s="16">
        <v>0</v>
      </c>
      <c r="AK20" s="16">
        <v>484</v>
      </c>
      <c r="AL20" s="16">
        <v>0</v>
      </c>
      <c r="AM20" s="16">
        <v>0</v>
      </c>
      <c r="AN20" s="16">
        <v>0</v>
      </c>
      <c r="AO20" s="16">
        <v>2492</v>
      </c>
      <c r="AP20" s="16">
        <v>20894</v>
      </c>
      <c r="AQ20" s="9">
        <v>1</v>
      </c>
    </row>
    <row r="21" spans="1:43" x14ac:dyDescent="0.3">
      <c r="A21" s="9" t="s">
        <v>74</v>
      </c>
      <c r="B21" s="11" t="s">
        <v>73</v>
      </c>
      <c r="C21" s="16">
        <v>6948</v>
      </c>
      <c r="D21" s="16">
        <v>3790</v>
      </c>
      <c r="E21" s="16">
        <v>632</v>
      </c>
      <c r="F21" s="16">
        <v>884</v>
      </c>
      <c r="G21" s="16">
        <v>379</v>
      </c>
      <c r="H21" s="16">
        <v>0</v>
      </c>
      <c r="I21" s="16">
        <v>649</v>
      </c>
      <c r="J21" s="16">
        <v>1883</v>
      </c>
      <c r="K21" s="16">
        <v>12633</v>
      </c>
      <c r="L21" s="16">
        <v>20</v>
      </c>
      <c r="M21" s="16">
        <v>890</v>
      </c>
      <c r="N21" s="16">
        <v>0</v>
      </c>
      <c r="O21" s="16">
        <v>600</v>
      </c>
      <c r="P21" s="16">
        <v>0</v>
      </c>
      <c r="Q21" s="16">
        <v>95</v>
      </c>
      <c r="R21" s="16">
        <v>19</v>
      </c>
      <c r="S21" s="16">
        <v>82</v>
      </c>
      <c r="T21" s="16">
        <v>5</v>
      </c>
      <c r="U21" s="16">
        <v>20</v>
      </c>
      <c r="V21" s="16">
        <v>595</v>
      </c>
      <c r="W21" s="16">
        <v>8843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2532</v>
      </c>
      <c r="AE21" s="16">
        <v>2513</v>
      </c>
      <c r="AF21" s="16">
        <v>12633</v>
      </c>
      <c r="AG21" s="16">
        <v>1061</v>
      </c>
      <c r="AH21" s="16">
        <v>95</v>
      </c>
      <c r="AI21" s="16">
        <v>208</v>
      </c>
      <c r="AJ21" s="16">
        <v>0</v>
      </c>
      <c r="AK21" s="16">
        <v>426</v>
      </c>
      <c r="AL21" s="16">
        <v>0</v>
      </c>
      <c r="AM21" s="16">
        <v>0</v>
      </c>
      <c r="AN21" s="16">
        <v>0</v>
      </c>
      <c r="AO21" s="16">
        <v>1790</v>
      </c>
      <c r="AP21" s="16">
        <v>10843</v>
      </c>
      <c r="AQ21" s="9">
        <v>1</v>
      </c>
    </row>
    <row r="22" spans="1:43" x14ac:dyDescent="0.3">
      <c r="A22" s="9" t="s">
        <v>76</v>
      </c>
      <c r="B22" s="11" t="s">
        <v>75</v>
      </c>
      <c r="C22" s="16">
        <v>7168</v>
      </c>
      <c r="D22" s="16">
        <v>3910</v>
      </c>
      <c r="E22" s="16">
        <v>652</v>
      </c>
      <c r="F22" s="16">
        <v>912</v>
      </c>
      <c r="G22" s="16">
        <v>391</v>
      </c>
      <c r="H22" s="16">
        <v>0</v>
      </c>
      <c r="I22" s="16">
        <v>0</v>
      </c>
      <c r="J22" s="16">
        <v>0</v>
      </c>
      <c r="K22" s="16">
        <v>13033</v>
      </c>
      <c r="L22" s="16">
        <v>0</v>
      </c>
      <c r="M22" s="16">
        <v>1010</v>
      </c>
      <c r="N22" s="16">
        <v>0</v>
      </c>
      <c r="O22" s="16">
        <v>639</v>
      </c>
      <c r="P22" s="16">
        <v>0</v>
      </c>
      <c r="Q22" s="16">
        <v>98</v>
      </c>
      <c r="R22" s="16">
        <v>0</v>
      </c>
      <c r="S22" s="16">
        <v>0</v>
      </c>
      <c r="T22" s="16">
        <v>5</v>
      </c>
      <c r="U22" s="16">
        <v>21</v>
      </c>
      <c r="V22" s="16">
        <v>634</v>
      </c>
      <c r="W22" s="16">
        <v>9123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13033</v>
      </c>
      <c r="AG22" s="16">
        <v>1095</v>
      </c>
      <c r="AH22" s="16">
        <v>98</v>
      </c>
      <c r="AI22" s="16">
        <v>208</v>
      </c>
      <c r="AJ22" s="16">
        <v>0</v>
      </c>
      <c r="AK22" s="16">
        <v>387</v>
      </c>
      <c r="AL22" s="16">
        <v>0</v>
      </c>
      <c r="AM22" s="16">
        <v>0</v>
      </c>
      <c r="AN22" s="16">
        <v>0</v>
      </c>
      <c r="AO22" s="16">
        <v>1788</v>
      </c>
      <c r="AP22" s="16">
        <v>11245</v>
      </c>
      <c r="AQ22" s="9">
        <v>1</v>
      </c>
    </row>
    <row r="23" spans="1:43" x14ac:dyDescent="0.3">
      <c r="A23" s="9" t="s">
        <v>78</v>
      </c>
      <c r="B23" s="11" t="s">
        <v>77</v>
      </c>
      <c r="C23" s="16">
        <v>7264</v>
      </c>
      <c r="D23" s="16">
        <v>3962</v>
      </c>
      <c r="E23" s="16">
        <v>660</v>
      </c>
      <c r="F23" s="16">
        <v>924</v>
      </c>
      <c r="G23" s="16">
        <v>396</v>
      </c>
      <c r="H23" s="16">
        <v>0</v>
      </c>
      <c r="I23" s="16">
        <v>0</v>
      </c>
      <c r="J23" s="16">
        <v>0</v>
      </c>
      <c r="K23" s="16">
        <v>13206</v>
      </c>
      <c r="L23" s="16">
        <v>0</v>
      </c>
      <c r="M23" s="16">
        <v>890</v>
      </c>
      <c r="N23" s="16">
        <v>0</v>
      </c>
      <c r="O23" s="16">
        <v>594</v>
      </c>
      <c r="P23" s="16">
        <v>0</v>
      </c>
      <c r="Q23" s="16">
        <v>90</v>
      </c>
      <c r="R23" s="16">
        <v>0</v>
      </c>
      <c r="S23" s="16">
        <v>0</v>
      </c>
      <c r="T23" s="16">
        <v>4</v>
      </c>
      <c r="U23" s="16">
        <v>19</v>
      </c>
      <c r="V23" s="16">
        <v>590</v>
      </c>
      <c r="W23" s="16">
        <v>9244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13206</v>
      </c>
      <c r="AG23" s="16">
        <v>1109</v>
      </c>
      <c r="AH23" s="16">
        <v>100</v>
      </c>
      <c r="AI23" s="16">
        <v>208</v>
      </c>
      <c r="AJ23" s="16">
        <v>0</v>
      </c>
      <c r="AK23" s="16">
        <v>445</v>
      </c>
      <c r="AL23" s="16">
        <v>0</v>
      </c>
      <c r="AM23" s="16">
        <v>0</v>
      </c>
      <c r="AN23" s="16">
        <v>0</v>
      </c>
      <c r="AO23" s="16">
        <v>1862</v>
      </c>
      <c r="AP23" s="16">
        <v>11344</v>
      </c>
      <c r="AQ23" s="9">
        <v>1</v>
      </c>
    </row>
    <row r="24" spans="1:43" x14ac:dyDescent="0.3">
      <c r="A24" s="9" t="s">
        <v>80</v>
      </c>
      <c r="B24" s="11" t="s">
        <v>79</v>
      </c>
      <c r="C24" s="16">
        <v>7012</v>
      </c>
      <c r="D24" s="16">
        <v>3825</v>
      </c>
      <c r="E24" s="16">
        <v>637</v>
      </c>
      <c r="F24" s="16">
        <v>892</v>
      </c>
      <c r="G24" s="16">
        <v>382</v>
      </c>
      <c r="H24" s="16">
        <v>0</v>
      </c>
      <c r="I24" s="16">
        <v>0</v>
      </c>
      <c r="J24" s="16">
        <v>275</v>
      </c>
      <c r="K24" s="16">
        <v>12748</v>
      </c>
      <c r="L24" s="16">
        <v>2.5</v>
      </c>
      <c r="M24" s="16">
        <v>1040</v>
      </c>
      <c r="N24" s="16">
        <v>0</v>
      </c>
      <c r="O24" s="16">
        <v>574</v>
      </c>
      <c r="P24" s="16">
        <v>0</v>
      </c>
      <c r="Q24" s="16">
        <v>90</v>
      </c>
      <c r="R24" s="16">
        <v>2</v>
      </c>
      <c r="S24" s="16">
        <v>9</v>
      </c>
      <c r="T24" s="16">
        <v>4</v>
      </c>
      <c r="U24" s="16">
        <v>19</v>
      </c>
      <c r="V24" s="16">
        <v>570</v>
      </c>
      <c r="W24" s="16">
        <v>8923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275</v>
      </c>
      <c r="AE24" s="16">
        <v>273</v>
      </c>
      <c r="AF24" s="16">
        <v>12748</v>
      </c>
      <c r="AG24" s="16">
        <v>1071</v>
      </c>
      <c r="AH24" s="16">
        <v>96</v>
      </c>
      <c r="AI24" s="16">
        <v>208</v>
      </c>
      <c r="AJ24" s="16">
        <v>0</v>
      </c>
      <c r="AK24" s="16">
        <v>368</v>
      </c>
      <c r="AL24" s="16">
        <v>680</v>
      </c>
      <c r="AM24" s="16">
        <v>0</v>
      </c>
      <c r="AN24" s="16">
        <v>100</v>
      </c>
      <c r="AO24" s="16">
        <v>2523</v>
      </c>
      <c r="AP24" s="16">
        <v>10225</v>
      </c>
      <c r="AQ24" s="9">
        <v>1</v>
      </c>
    </row>
    <row r="25" spans="1:43" x14ac:dyDescent="0.3">
      <c r="A25" s="9" t="s">
        <v>82</v>
      </c>
      <c r="B25" s="11" t="s">
        <v>81</v>
      </c>
      <c r="C25" s="16">
        <v>11798</v>
      </c>
      <c r="D25" s="16">
        <v>6435</v>
      </c>
      <c r="E25" s="16">
        <v>1073</v>
      </c>
      <c r="F25" s="16">
        <v>1502</v>
      </c>
      <c r="G25" s="16">
        <v>644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2250</v>
      </c>
      <c r="N25" s="16">
        <v>0</v>
      </c>
      <c r="O25" s="16">
        <v>1310</v>
      </c>
      <c r="P25" s="16">
        <v>0</v>
      </c>
      <c r="Q25" s="16">
        <v>95</v>
      </c>
      <c r="R25" s="16">
        <v>0</v>
      </c>
      <c r="S25" s="16">
        <v>0</v>
      </c>
      <c r="T25" s="16">
        <v>0</v>
      </c>
      <c r="U25" s="16">
        <v>0</v>
      </c>
      <c r="V25" s="16">
        <v>1310</v>
      </c>
      <c r="W25" s="16">
        <v>15000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6129</v>
      </c>
      <c r="AD25" s="16">
        <v>0</v>
      </c>
      <c r="AE25" s="16">
        <v>0</v>
      </c>
      <c r="AF25" s="16">
        <v>27581</v>
      </c>
      <c r="AG25" s="16">
        <v>1800</v>
      </c>
      <c r="AH25" s="16">
        <v>0</v>
      </c>
      <c r="AI25" s="16">
        <v>208</v>
      </c>
      <c r="AJ25" s="16">
        <v>0</v>
      </c>
      <c r="AK25" s="16">
        <v>368</v>
      </c>
      <c r="AL25" s="16">
        <v>0</v>
      </c>
      <c r="AM25" s="16">
        <v>0</v>
      </c>
      <c r="AN25" s="16">
        <v>0</v>
      </c>
      <c r="AO25" s="16">
        <v>2376</v>
      </c>
      <c r="AP25" s="16">
        <v>25205</v>
      </c>
      <c r="AQ25" s="9">
        <v>1</v>
      </c>
    </row>
    <row r="26" spans="1:43" x14ac:dyDescent="0.3">
      <c r="A26" s="9" t="s">
        <v>84</v>
      </c>
      <c r="B26" s="11" t="s">
        <v>83</v>
      </c>
      <c r="C26" s="16">
        <v>6291</v>
      </c>
      <c r="D26" s="16">
        <v>3432</v>
      </c>
      <c r="E26" s="16">
        <v>572</v>
      </c>
      <c r="F26" s="16">
        <v>801</v>
      </c>
      <c r="G26" s="16">
        <v>343</v>
      </c>
      <c r="H26" s="16">
        <v>0</v>
      </c>
      <c r="I26" s="16">
        <v>0</v>
      </c>
      <c r="J26" s="16">
        <v>0</v>
      </c>
      <c r="K26" s="16">
        <v>11439</v>
      </c>
      <c r="L26" s="16">
        <v>0</v>
      </c>
      <c r="M26" s="16">
        <v>985</v>
      </c>
      <c r="N26" s="16">
        <v>0</v>
      </c>
      <c r="O26" s="16">
        <v>500</v>
      </c>
      <c r="P26" s="16">
        <v>0</v>
      </c>
      <c r="Q26" s="16">
        <v>87.5</v>
      </c>
      <c r="R26" s="16">
        <v>0</v>
      </c>
      <c r="S26" s="16">
        <v>0</v>
      </c>
      <c r="T26" s="16">
        <v>4</v>
      </c>
      <c r="U26" s="16">
        <v>16</v>
      </c>
      <c r="V26" s="16">
        <v>496</v>
      </c>
      <c r="W26" s="16">
        <v>8007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11439</v>
      </c>
      <c r="AG26" s="16">
        <v>961</v>
      </c>
      <c r="AH26" s="16">
        <v>86</v>
      </c>
      <c r="AI26" s="16">
        <v>171</v>
      </c>
      <c r="AJ26" s="16">
        <v>0</v>
      </c>
      <c r="AK26" s="16">
        <v>348</v>
      </c>
      <c r="AL26" s="16">
        <v>0</v>
      </c>
      <c r="AM26" s="16">
        <v>0</v>
      </c>
      <c r="AN26" s="16">
        <v>0</v>
      </c>
      <c r="AO26" s="16">
        <v>1566</v>
      </c>
      <c r="AP26" s="16">
        <v>9873</v>
      </c>
      <c r="AQ26" s="9">
        <v>1</v>
      </c>
    </row>
    <row r="27" spans="1:43" x14ac:dyDescent="0.3">
      <c r="A27" s="9" t="s">
        <v>86</v>
      </c>
      <c r="B27" s="11" t="s">
        <v>85</v>
      </c>
      <c r="C27" s="16">
        <v>5535</v>
      </c>
      <c r="D27" s="16">
        <v>3019</v>
      </c>
      <c r="E27" s="16">
        <v>503</v>
      </c>
      <c r="F27" s="16">
        <v>705</v>
      </c>
      <c r="G27" s="16">
        <v>302</v>
      </c>
      <c r="H27" s="16">
        <v>0</v>
      </c>
      <c r="I27" s="16">
        <v>0</v>
      </c>
      <c r="J27" s="16">
        <v>880</v>
      </c>
      <c r="K27" s="16">
        <v>10064</v>
      </c>
      <c r="L27" s="16">
        <v>8</v>
      </c>
      <c r="M27" s="16">
        <v>1040</v>
      </c>
      <c r="N27" s="16">
        <v>0</v>
      </c>
      <c r="O27" s="16">
        <v>478</v>
      </c>
      <c r="P27" s="16">
        <v>0</v>
      </c>
      <c r="Q27" s="16">
        <v>95</v>
      </c>
      <c r="R27" s="16">
        <v>7</v>
      </c>
      <c r="S27" s="16">
        <v>29</v>
      </c>
      <c r="T27" s="16">
        <v>4</v>
      </c>
      <c r="U27" s="16">
        <v>16</v>
      </c>
      <c r="V27" s="16">
        <v>474</v>
      </c>
      <c r="W27" s="16">
        <v>7045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880</v>
      </c>
      <c r="AE27" s="16">
        <v>873</v>
      </c>
      <c r="AF27" s="16">
        <v>10064</v>
      </c>
      <c r="AG27" s="16">
        <v>845</v>
      </c>
      <c r="AH27" s="16">
        <v>76</v>
      </c>
      <c r="AI27" s="16">
        <v>171</v>
      </c>
      <c r="AJ27" s="16">
        <v>0</v>
      </c>
      <c r="AK27" s="16">
        <v>290</v>
      </c>
      <c r="AL27" s="16">
        <v>0</v>
      </c>
      <c r="AM27" s="16">
        <v>0</v>
      </c>
      <c r="AN27" s="16">
        <v>0</v>
      </c>
      <c r="AO27" s="16">
        <v>1382</v>
      </c>
      <c r="AP27" s="16">
        <v>8682</v>
      </c>
      <c r="AQ27" s="9">
        <v>1</v>
      </c>
    </row>
    <row r="28" spans="1:43" x14ac:dyDescent="0.3">
      <c r="A28" s="9" t="s">
        <v>88</v>
      </c>
      <c r="B28" s="11" t="s">
        <v>87</v>
      </c>
      <c r="C28" s="16">
        <v>5564</v>
      </c>
      <c r="D28" s="16">
        <v>3035</v>
      </c>
      <c r="E28" s="16">
        <v>506</v>
      </c>
      <c r="F28" s="16">
        <v>708</v>
      </c>
      <c r="G28" s="16">
        <v>303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980</v>
      </c>
      <c r="N28" s="16">
        <v>0</v>
      </c>
      <c r="O28" s="16">
        <v>506</v>
      </c>
      <c r="P28" s="16">
        <v>0</v>
      </c>
      <c r="Q28" s="16">
        <v>100</v>
      </c>
      <c r="R28" s="16">
        <v>0</v>
      </c>
      <c r="S28" s="16">
        <v>0</v>
      </c>
      <c r="T28" s="16">
        <v>0</v>
      </c>
      <c r="U28" s="16">
        <v>0</v>
      </c>
      <c r="V28" s="16">
        <v>506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10116</v>
      </c>
      <c r="AG28" s="16">
        <v>0</v>
      </c>
      <c r="AH28" s="16">
        <v>0</v>
      </c>
      <c r="AI28" s="16">
        <v>0</v>
      </c>
      <c r="AJ28" s="16">
        <v>0</v>
      </c>
      <c r="AK28" s="16">
        <v>310</v>
      </c>
      <c r="AL28" s="16">
        <v>0</v>
      </c>
      <c r="AM28" s="16">
        <v>0</v>
      </c>
      <c r="AN28" s="16">
        <v>0</v>
      </c>
      <c r="AO28" s="16">
        <v>310</v>
      </c>
      <c r="AP28" s="16">
        <v>9806</v>
      </c>
      <c r="AQ28" s="9">
        <v>1</v>
      </c>
    </row>
    <row r="29" spans="1:43" x14ac:dyDescent="0.3">
      <c r="A29" s="9" t="s">
        <v>90</v>
      </c>
      <c r="B29" s="11" t="s">
        <v>89</v>
      </c>
      <c r="C29" s="16">
        <v>5940</v>
      </c>
      <c r="D29" s="16">
        <v>3240</v>
      </c>
      <c r="E29" s="16">
        <v>540</v>
      </c>
      <c r="F29" s="16">
        <v>756</v>
      </c>
      <c r="G29" s="16">
        <v>324</v>
      </c>
      <c r="H29" s="16">
        <v>0</v>
      </c>
      <c r="I29" s="16">
        <v>0</v>
      </c>
      <c r="J29" s="16">
        <v>0</v>
      </c>
      <c r="K29" s="16">
        <v>10800</v>
      </c>
      <c r="L29" s="16">
        <v>0</v>
      </c>
      <c r="M29" s="16">
        <v>930</v>
      </c>
      <c r="N29" s="16">
        <v>0</v>
      </c>
      <c r="O29" s="16">
        <v>365</v>
      </c>
      <c r="P29" s="16">
        <v>0</v>
      </c>
      <c r="Q29" s="16">
        <v>67.5</v>
      </c>
      <c r="R29" s="16">
        <v>0</v>
      </c>
      <c r="S29" s="16">
        <v>0</v>
      </c>
      <c r="T29" s="16">
        <v>3</v>
      </c>
      <c r="U29" s="16">
        <v>12</v>
      </c>
      <c r="V29" s="16">
        <v>362</v>
      </c>
      <c r="W29" s="16">
        <v>7560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10800</v>
      </c>
      <c r="AG29" s="16">
        <v>907</v>
      </c>
      <c r="AH29" s="16">
        <v>81</v>
      </c>
      <c r="AI29" s="16">
        <v>171</v>
      </c>
      <c r="AJ29" s="16">
        <v>0</v>
      </c>
      <c r="AK29" s="16">
        <v>348</v>
      </c>
      <c r="AL29" s="16">
        <v>0</v>
      </c>
      <c r="AM29" s="16">
        <v>0</v>
      </c>
      <c r="AN29" s="16">
        <v>0</v>
      </c>
      <c r="AO29" s="16">
        <v>1507</v>
      </c>
      <c r="AP29" s="16">
        <v>9293</v>
      </c>
      <c r="AQ29" s="9">
        <v>1</v>
      </c>
    </row>
    <row r="30" spans="1:43" x14ac:dyDescent="0.3">
      <c r="A30" s="9" t="s">
        <v>92</v>
      </c>
      <c r="B30" s="11" t="s">
        <v>91</v>
      </c>
      <c r="C30" s="16">
        <v>5940</v>
      </c>
      <c r="D30" s="16">
        <v>3240</v>
      </c>
      <c r="E30" s="16">
        <v>540</v>
      </c>
      <c r="F30" s="16">
        <v>756</v>
      </c>
      <c r="G30" s="16">
        <v>324</v>
      </c>
      <c r="H30" s="16">
        <v>0</v>
      </c>
      <c r="I30" s="16">
        <v>0</v>
      </c>
      <c r="J30" s="16">
        <v>0</v>
      </c>
      <c r="K30" s="16">
        <v>10800</v>
      </c>
      <c r="L30" s="16">
        <v>0</v>
      </c>
      <c r="M30" s="16">
        <v>930</v>
      </c>
      <c r="N30" s="16">
        <v>0</v>
      </c>
      <c r="O30" s="16">
        <v>365</v>
      </c>
      <c r="P30" s="16">
        <v>0</v>
      </c>
      <c r="Q30" s="16">
        <v>67.5</v>
      </c>
      <c r="R30" s="16">
        <v>0</v>
      </c>
      <c r="S30" s="16">
        <v>0</v>
      </c>
      <c r="T30" s="16">
        <v>3</v>
      </c>
      <c r="U30" s="16">
        <v>12</v>
      </c>
      <c r="V30" s="16">
        <v>362</v>
      </c>
      <c r="W30" s="16">
        <v>7560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10800</v>
      </c>
      <c r="AG30" s="16">
        <v>907</v>
      </c>
      <c r="AH30" s="16">
        <v>81</v>
      </c>
      <c r="AI30" s="16">
        <v>171</v>
      </c>
      <c r="AJ30" s="16">
        <v>0</v>
      </c>
      <c r="AK30" s="16">
        <v>348</v>
      </c>
      <c r="AL30" s="16">
        <v>0</v>
      </c>
      <c r="AM30" s="16">
        <v>0</v>
      </c>
      <c r="AN30" s="16">
        <v>0</v>
      </c>
      <c r="AO30" s="16">
        <v>1507</v>
      </c>
      <c r="AP30" s="16">
        <v>9293</v>
      </c>
      <c r="AQ30" s="9">
        <v>1</v>
      </c>
    </row>
    <row r="31" spans="1:43" x14ac:dyDescent="0.3">
      <c r="A31" s="9" t="s">
        <v>94</v>
      </c>
      <c r="B31" s="11" t="s">
        <v>93</v>
      </c>
      <c r="C31" s="16">
        <v>6270</v>
      </c>
      <c r="D31" s="16">
        <v>3420</v>
      </c>
      <c r="E31" s="16">
        <v>570</v>
      </c>
      <c r="F31" s="16">
        <v>798</v>
      </c>
      <c r="G31" s="16">
        <v>342</v>
      </c>
      <c r="H31" s="16">
        <v>0</v>
      </c>
      <c r="I31" s="16">
        <v>0</v>
      </c>
      <c r="J31" s="16">
        <v>0</v>
      </c>
      <c r="K31" s="16">
        <v>11400</v>
      </c>
      <c r="L31" s="16">
        <v>0</v>
      </c>
      <c r="M31" s="16">
        <v>930</v>
      </c>
      <c r="N31" s="16">
        <v>0</v>
      </c>
      <c r="O31" s="16">
        <v>385</v>
      </c>
      <c r="P31" s="16">
        <v>0</v>
      </c>
      <c r="Q31" s="16">
        <v>67.5</v>
      </c>
      <c r="R31" s="16">
        <v>0</v>
      </c>
      <c r="S31" s="16">
        <v>0</v>
      </c>
      <c r="T31" s="16">
        <v>3</v>
      </c>
      <c r="U31" s="16">
        <v>13</v>
      </c>
      <c r="V31" s="16">
        <v>382</v>
      </c>
      <c r="W31" s="16">
        <v>7980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11400</v>
      </c>
      <c r="AG31" s="16">
        <v>958</v>
      </c>
      <c r="AH31" s="16">
        <v>86</v>
      </c>
      <c r="AI31" s="16">
        <v>171</v>
      </c>
      <c r="AJ31" s="16">
        <v>0</v>
      </c>
      <c r="AK31" s="16">
        <v>368</v>
      </c>
      <c r="AL31" s="16">
        <v>0</v>
      </c>
      <c r="AM31" s="16">
        <v>0</v>
      </c>
      <c r="AN31" s="16">
        <v>0</v>
      </c>
      <c r="AO31" s="16">
        <v>1583</v>
      </c>
      <c r="AP31" s="16">
        <v>9817</v>
      </c>
      <c r="AQ31" s="9">
        <v>1</v>
      </c>
    </row>
    <row r="32" spans="1:43" x14ac:dyDescent="0.3">
      <c r="A32" s="9" t="s">
        <v>96</v>
      </c>
      <c r="B32" s="11" t="s">
        <v>95</v>
      </c>
      <c r="C32" s="16">
        <v>10060</v>
      </c>
      <c r="D32" s="16">
        <v>5487</v>
      </c>
      <c r="E32" s="16">
        <v>915</v>
      </c>
      <c r="F32" s="16">
        <v>1280</v>
      </c>
      <c r="G32" s="16">
        <v>549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2125</v>
      </c>
      <c r="N32" s="16">
        <v>0</v>
      </c>
      <c r="O32" s="16">
        <v>763</v>
      </c>
      <c r="P32" s="16">
        <v>0</v>
      </c>
      <c r="Q32" s="16">
        <v>79.5</v>
      </c>
      <c r="R32" s="16">
        <v>0</v>
      </c>
      <c r="S32" s="16">
        <v>0</v>
      </c>
      <c r="T32" s="16">
        <v>0</v>
      </c>
      <c r="U32" s="16">
        <v>0</v>
      </c>
      <c r="V32" s="16">
        <v>763</v>
      </c>
      <c r="W32" s="16">
        <v>12804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903</v>
      </c>
      <c r="AD32" s="16">
        <v>0</v>
      </c>
      <c r="AE32" s="16">
        <v>0</v>
      </c>
      <c r="AF32" s="16">
        <v>19194</v>
      </c>
      <c r="AG32" s="16">
        <v>1536</v>
      </c>
      <c r="AH32" s="16">
        <v>0</v>
      </c>
      <c r="AI32" s="16">
        <v>208</v>
      </c>
      <c r="AJ32" s="16">
        <v>0</v>
      </c>
      <c r="AK32" s="16">
        <v>271</v>
      </c>
      <c r="AL32" s="16">
        <v>0</v>
      </c>
      <c r="AM32" s="16">
        <v>0</v>
      </c>
      <c r="AN32" s="16">
        <v>0</v>
      </c>
      <c r="AO32" s="16">
        <v>2015</v>
      </c>
      <c r="AP32" s="16">
        <v>17179</v>
      </c>
      <c r="AQ32" s="9">
        <v>1</v>
      </c>
    </row>
    <row r="33" spans="1:43" x14ac:dyDescent="0.3">
      <c r="A33" s="9" t="s">
        <v>98</v>
      </c>
      <c r="B33" s="11" t="s">
        <v>97</v>
      </c>
      <c r="C33" s="16">
        <v>5713</v>
      </c>
      <c r="D33" s="16">
        <v>3116</v>
      </c>
      <c r="E33" s="16">
        <v>519</v>
      </c>
      <c r="F33" s="16">
        <v>727</v>
      </c>
      <c r="G33" s="16">
        <v>312</v>
      </c>
      <c r="H33" s="16">
        <v>0</v>
      </c>
      <c r="I33" s="16">
        <v>0</v>
      </c>
      <c r="J33" s="16">
        <v>487</v>
      </c>
      <c r="K33" s="16">
        <v>0</v>
      </c>
      <c r="L33" s="16">
        <v>4</v>
      </c>
      <c r="M33" s="16">
        <v>1500</v>
      </c>
      <c r="N33" s="16">
        <v>0</v>
      </c>
      <c r="O33" s="16">
        <v>644</v>
      </c>
      <c r="P33" s="16">
        <v>0</v>
      </c>
      <c r="Q33" s="16">
        <v>95</v>
      </c>
      <c r="R33" s="16">
        <v>0</v>
      </c>
      <c r="S33" s="16">
        <v>0</v>
      </c>
      <c r="T33" s="16">
        <v>0</v>
      </c>
      <c r="U33" s="16">
        <v>0</v>
      </c>
      <c r="V33" s="16">
        <v>644</v>
      </c>
      <c r="W33" s="16">
        <v>7271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3161</v>
      </c>
      <c r="AD33" s="16">
        <v>487</v>
      </c>
      <c r="AE33" s="16">
        <v>487</v>
      </c>
      <c r="AF33" s="16">
        <v>13548</v>
      </c>
      <c r="AG33" s="16">
        <v>873</v>
      </c>
      <c r="AH33" s="16">
        <v>0</v>
      </c>
      <c r="AI33" s="16">
        <v>208</v>
      </c>
      <c r="AJ33" s="16">
        <v>0</v>
      </c>
      <c r="AK33" s="16">
        <v>271</v>
      </c>
      <c r="AL33" s="16">
        <v>0</v>
      </c>
      <c r="AM33" s="16">
        <v>0</v>
      </c>
      <c r="AN33" s="16">
        <v>0</v>
      </c>
      <c r="AO33" s="16">
        <v>1352</v>
      </c>
      <c r="AP33" s="16">
        <v>12196</v>
      </c>
      <c r="AQ33" s="9">
        <v>1</v>
      </c>
    </row>
    <row r="34" spans="1:43" x14ac:dyDescent="0.3">
      <c r="A34" s="9" t="s">
        <v>100</v>
      </c>
      <c r="B34" s="11" t="s">
        <v>99</v>
      </c>
      <c r="C34" s="16">
        <v>4563</v>
      </c>
      <c r="D34" s="16">
        <v>2489</v>
      </c>
      <c r="E34" s="16">
        <v>415</v>
      </c>
      <c r="F34" s="16">
        <v>581</v>
      </c>
      <c r="G34" s="16">
        <v>249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1152</v>
      </c>
      <c r="N34" s="16">
        <v>0</v>
      </c>
      <c r="O34" s="16">
        <v>446</v>
      </c>
      <c r="P34" s="16">
        <v>0</v>
      </c>
      <c r="Q34" s="16">
        <v>100</v>
      </c>
      <c r="R34" s="16">
        <v>0</v>
      </c>
      <c r="S34" s="16">
        <v>0</v>
      </c>
      <c r="T34" s="16">
        <v>0</v>
      </c>
      <c r="U34" s="16">
        <v>0</v>
      </c>
      <c r="V34" s="16">
        <v>446</v>
      </c>
      <c r="W34" s="16">
        <v>5808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619</v>
      </c>
      <c r="AD34" s="16">
        <v>0</v>
      </c>
      <c r="AE34" s="16">
        <v>0</v>
      </c>
      <c r="AF34" s="16">
        <v>8916</v>
      </c>
      <c r="AG34" s="16">
        <v>697</v>
      </c>
      <c r="AH34" s="16">
        <v>0</v>
      </c>
      <c r="AI34" s="16">
        <v>155</v>
      </c>
      <c r="AJ34" s="16">
        <v>0</v>
      </c>
      <c r="AK34" s="16">
        <v>232</v>
      </c>
      <c r="AL34" s="16">
        <v>0</v>
      </c>
      <c r="AM34" s="16">
        <v>0</v>
      </c>
      <c r="AN34" s="16">
        <v>0</v>
      </c>
      <c r="AO34" s="16">
        <v>1084</v>
      </c>
      <c r="AP34" s="16">
        <v>7832</v>
      </c>
      <c r="AQ34" s="9">
        <v>1</v>
      </c>
    </row>
    <row r="35" spans="1:43" x14ac:dyDescent="0.3">
      <c r="A35" s="9" t="s">
        <v>102</v>
      </c>
      <c r="B35" s="11" t="s">
        <v>101</v>
      </c>
      <c r="C35" s="16">
        <v>5378</v>
      </c>
      <c r="D35" s="16">
        <v>2934</v>
      </c>
      <c r="E35" s="16">
        <v>489</v>
      </c>
      <c r="F35" s="16">
        <v>685</v>
      </c>
      <c r="G35" s="16">
        <v>293</v>
      </c>
      <c r="H35" s="16">
        <v>0</v>
      </c>
      <c r="I35" s="16">
        <v>0</v>
      </c>
      <c r="J35" s="16">
        <v>1749</v>
      </c>
      <c r="K35" s="16">
        <v>0</v>
      </c>
      <c r="L35" s="16">
        <v>12</v>
      </c>
      <c r="M35" s="16">
        <v>1750</v>
      </c>
      <c r="N35" s="16">
        <v>0</v>
      </c>
      <c r="O35" s="16">
        <v>590</v>
      </c>
      <c r="P35" s="16">
        <v>0</v>
      </c>
      <c r="Q35" s="16">
        <v>95</v>
      </c>
      <c r="R35" s="16">
        <v>0</v>
      </c>
      <c r="S35" s="16">
        <v>0</v>
      </c>
      <c r="T35" s="16">
        <v>0</v>
      </c>
      <c r="U35" s="16">
        <v>0</v>
      </c>
      <c r="V35" s="16">
        <v>590</v>
      </c>
      <c r="W35" s="16">
        <v>6845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2644</v>
      </c>
      <c r="AD35" s="16">
        <v>1749</v>
      </c>
      <c r="AE35" s="16">
        <v>1749</v>
      </c>
      <c r="AF35" s="16">
        <v>12423</v>
      </c>
      <c r="AG35" s="16">
        <v>821</v>
      </c>
      <c r="AH35" s="16">
        <v>0</v>
      </c>
      <c r="AI35" s="16">
        <v>171</v>
      </c>
      <c r="AJ35" s="16">
        <v>0</v>
      </c>
      <c r="AK35" s="16">
        <v>213</v>
      </c>
      <c r="AL35" s="16">
        <v>0</v>
      </c>
      <c r="AM35" s="16">
        <v>0</v>
      </c>
      <c r="AN35" s="16">
        <v>0</v>
      </c>
      <c r="AO35" s="16">
        <v>1205</v>
      </c>
      <c r="AP35" s="16">
        <v>11218</v>
      </c>
      <c r="AQ35" s="9">
        <v>1</v>
      </c>
    </row>
    <row r="36" spans="1:43" x14ac:dyDescent="0.3">
      <c r="A36" s="9" t="s">
        <v>104</v>
      </c>
      <c r="B36" s="11" t="s">
        <v>103</v>
      </c>
      <c r="C36" s="16">
        <v>9677</v>
      </c>
      <c r="D36" s="16">
        <v>5278</v>
      </c>
      <c r="E36" s="16">
        <v>880</v>
      </c>
      <c r="F36" s="16">
        <v>1232</v>
      </c>
      <c r="G36" s="16">
        <v>528</v>
      </c>
      <c r="H36" s="16">
        <v>0</v>
      </c>
      <c r="I36" s="16">
        <v>0</v>
      </c>
      <c r="J36" s="16">
        <v>11634</v>
      </c>
      <c r="K36" s="16">
        <v>0</v>
      </c>
      <c r="L36" s="16">
        <v>121</v>
      </c>
      <c r="M36" s="16">
        <v>1182</v>
      </c>
      <c r="N36" s="16">
        <v>0</v>
      </c>
      <c r="O36" s="16">
        <v>1087</v>
      </c>
      <c r="P36" s="16">
        <v>1000</v>
      </c>
      <c r="Q36" s="16">
        <v>95</v>
      </c>
      <c r="R36" s="16">
        <v>0</v>
      </c>
      <c r="S36" s="16">
        <v>0</v>
      </c>
      <c r="T36" s="16">
        <v>0</v>
      </c>
      <c r="U36" s="16">
        <v>0</v>
      </c>
      <c r="V36" s="16">
        <v>1087</v>
      </c>
      <c r="W36" s="16">
        <v>12317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5274</v>
      </c>
      <c r="AD36" s="16">
        <v>12634</v>
      </c>
      <c r="AE36" s="16">
        <v>12634</v>
      </c>
      <c r="AF36" s="16">
        <v>22869</v>
      </c>
      <c r="AG36" s="16">
        <v>1478</v>
      </c>
      <c r="AH36" s="16">
        <v>0</v>
      </c>
      <c r="AI36" s="16">
        <v>208</v>
      </c>
      <c r="AJ36" s="16">
        <v>0</v>
      </c>
      <c r="AK36" s="16">
        <v>581</v>
      </c>
      <c r="AL36" s="16">
        <v>0</v>
      </c>
      <c r="AM36" s="16">
        <v>0</v>
      </c>
      <c r="AN36" s="16">
        <v>0</v>
      </c>
      <c r="AO36" s="16">
        <v>2267</v>
      </c>
      <c r="AP36" s="16">
        <v>20602</v>
      </c>
      <c r="AQ36" s="9">
        <v>1</v>
      </c>
    </row>
    <row r="37" spans="1:43" x14ac:dyDescent="0.3">
      <c r="A37" s="9" t="s">
        <v>106</v>
      </c>
      <c r="B37" s="11" t="s">
        <v>105</v>
      </c>
      <c r="C37" s="16">
        <v>11052</v>
      </c>
      <c r="D37" s="16">
        <v>6028</v>
      </c>
      <c r="E37" s="16">
        <v>1005</v>
      </c>
      <c r="F37" s="16">
        <v>1407</v>
      </c>
      <c r="G37" s="16">
        <v>603</v>
      </c>
      <c r="H37" s="16">
        <v>0</v>
      </c>
      <c r="I37" s="16">
        <v>0</v>
      </c>
      <c r="J37" s="16">
        <v>3437</v>
      </c>
      <c r="K37" s="16">
        <v>0</v>
      </c>
      <c r="L37" s="16">
        <v>24</v>
      </c>
      <c r="M37" s="16">
        <v>1989</v>
      </c>
      <c r="N37" s="16">
        <v>0</v>
      </c>
      <c r="O37" s="16">
        <v>1328</v>
      </c>
      <c r="P37" s="16">
        <v>0</v>
      </c>
      <c r="Q37" s="16">
        <v>90</v>
      </c>
      <c r="R37" s="16">
        <v>0</v>
      </c>
      <c r="S37" s="16">
        <v>0</v>
      </c>
      <c r="T37" s="16">
        <v>0</v>
      </c>
      <c r="U37" s="16">
        <v>0</v>
      </c>
      <c r="V37" s="16">
        <v>1328</v>
      </c>
      <c r="W37" s="16">
        <v>14067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9417</v>
      </c>
      <c r="AD37" s="16">
        <v>3437</v>
      </c>
      <c r="AE37" s="16">
        <v>3437</v>
      </c>
      <c r="AF37" s="16">
        <v>29512</v>
      </c>
      <c r="AG37" s="16">
        <v>1688</v>
      </c>
      <c r="AH37" s="16">
        <v>0</v>
      </c>
      <c r="AI37" s="16">
        <v>208</v>
      </c>
      <c r="AJ37" s="16">
        <v>0</v>
      </c>
      <c r="AK37" s="16">
        <v>445</v>
      </c>
      <c r="AL37" s="16">
        <v>0</v>
      </c>
      <c r="AM37" s="16">
        <v>0</v>
      </c>
      <c r="AN37" s="16">
        <v>0</v>
      </c>
      <c r="AO37" s="16">
        <v>2341</v>
      </c>
      <c r="AP37" s="16">
        <v>27171</v>
      </c>
      <c r="AQ37" s="9">
        <v>1</v>
      </c>
    </row>
    <row r="38" spans="1:43" x14ac:dyDescent="0.3">
      <c r="A38" s="9" t="s">
        <v>108</v>
      </c>
      <c r="B38" s="11" t="s">
        <v>107</v>
      </c>
      <c r="C38" s="16">
        <v>2526</v>
      </c>
      <c r="D38" s="16">
        <v>1378</v>
      </c>
      <c r="E38" s="16">
        <v>230</v>
      </c>
      <c r="F38" s="16">
        <v>322</v>
      </c>
      <c r="G38" s="16">
        <v>138</v>
      </c>
      <c r="H38" s="16">
        <v>0</v>
      </c>
      <c r="I38" s="16">
        <v>0</v>
      </c>
      <c r="J38" s="16">
        <v>0</v>
      </c>
      <c r="K38" s="16">
        <v>4594</v>
      </c>
      <c r="L38" s="16">
        <v>0</v>
      </c>
      <c r="M38" s="16">
        <v>890</v>
      </c>
      <c r="N38" s="16">
        <v>0</v>
      </c>
      <c r="O38" s="16">
        <v>218</v>
      </c>
      <c r="P38" s="16">
        <v>0</v>
      </c>
      <c r="Q38" s="16">
        <v>95</v>
      </c>
      <c r="R38" s="16">
        <v>0</v>
      </c>
      <c r="S38" s="16">
        <v>0</v>
      </c>
      <c r="T38" s="16">
        <v>2</v>
      </c>
      <c r="U38" s="16">
        <v>7</v>
      </c>
      <c r="V38" s="16">
        <v>216</v>
      </c>
      <c r="W38" s="16">
        <v>3216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4594</v>
      </c>
      <c r="AG38" s="16">
        <v>386</v>
      </c>
      <c r="AH38" s="16">
        <v>35</v>
      </c>
      <c r="AI38" s="16">
        <v>30</v>
      </c>
      <c r="AJ38" s="16">
        <v>0</v>
      </c>
      <c r="AK38" s="16">
        <v>155</v>
      </c>
      <c r="AL38" s="16">
        <v>0</v>
      </c>
      <c r="AM38" s="16">
        <v>0</v>
      </c>
      <c r="AN38" s="16">
        <v>0</v>
      </c>
      <c r="AO38" s="16">
        <v>606</v>
      </c>
      <c r="AP38" s="16">
        <v>3988</v>
      </c>
      <c r="AQ38" s="9">
        <v>1</v>
      </c>
    </row>
    <row r="39" spans="1:43" x14ac:dyDescent="0.3">
      <c r="A39" s="9" t="s">
        <v>110</v>
      </c>
      <c r="B39" s="11" t="s">
        <v>109</v>
      </c>
      <c r="C39" s="16">
        <v>1788</v>
      </c>
      <c r="D39" s="16">
        <v>975</v>
      </c>
      <c r="E39" s="16">
        <v>163</v>
      </c>
      <c r="F39" s="16">
        <v>228</v>
      </c>
      <c r="G39" s="16">
        <v>98</v>
      </c>
      <c r="H39" s="16">
        <v>0</v>
      </c>
      <c r="I39" s="16">
        <v>0</v>
      </c>
      <c r="J39" s="16">
        <v>0</v>
      </c>
      <c r="K39" s="16">
        <v>3252</v>
      </c>
      <c r="L39" s="16">
        <v>0</v>
      </c>
      <c r="M39" s="16">
        <v>1008</v>
      </c>
      <c r="N39" s="16">
        <v>0</v>
      </c>
      <c r="O39" s="16">
        <v>154</v>
      </c>
      <c r="P39" s="16">
        <v>0</v>
      </c>
      <c r="Q39" s="16">
        <v>95</v>
      </c>
      <c r="R39" s="16">
        <v>0</v>
      </c>
      <c r="S39" s="16">
        <v>0</v>
      </c>
      <c r="T39" s="16">
        <v>1</v>
      </c>
      <c r="U39" s="16">
        <v>5</v>
      </c>
      <c r="V39" s="16">
        <v>153</v>
      </c>
      <c r="W39" s="16">
        <v>2277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3252</v>
      </c>
      <c r="AG39" s="16">
        <v>273</v>
      </c>
      <c r="AH39" s="16">
        <v>25</v>
      </c>
      <c r="AI39" s="16">
        <v>0</v>
      </c>
      <c r="AJ39" s="16">
        <v>0</v>
      </c>
      <c r="AK39" s="16">
        <v>97</v>
      </c>
      <c r="AL39" s="16">
        <v>0</v>
      </c>
      <c r="AM39" s="16">
        <v>0</v>
      </c>
      <c r="AN39" s="16">
        <v>0</v>
      </c>
      <c r="AO39" s="16">
        <v>395</v>
      </c>
      <c r="AP39" s="16">
        <v>2857</v>
      </c>
      <c r="AQ39" s="9">
        <v>1</v>
      </c>
    </row>
    <row r="40" spans="1:43" x14ac:dyDescent="0.3">
      <c r="A40" s="9" t="s">
        <v>112</v>
      </c>
      <c r="B40" s="11" t="s">
        <v>111</v>
      </c>
      <c r="C40" s="16">
        <v>1788</v>
      </c>
      <c r="D40" s="16">
        <v>975</v>
      </c>
      <c r="E40" s="16">
        <v>163</v>
      </c>
      <c r="F40" s="16">
        <v>228</v>
      </c>
      <c r="G40" s="16">
        <v>98</v>
      </c>
      <c r="H40" s="16">
        <v>0</v>
      </c>
      <c r="I40" s="16">
        <v>0</v>
      </c>
      <c r="J40" s="16">
        <v>0</v>
      </c>
      <c r="K40" s="16">
        <v>3252</v>
      </c>
      <c r="L40" s="16">
        <v>0</v>
      </c>
      <c r="M40" s="16">
        <v>1008</v>
      </c>
      <c r="N40" s="16">
        <v>0</v>
      </c>
      <c r="O40" s="16">
        <v>154</v>
      </c>
      <c r="P40" s="16">
        <v>0</v>
      </c>
      <c r="Q40" s="16">
        <v>95</v>
      </c>
      <c r="R40" s="16">
        <v>0</v>
      </c>
      <c r="S40" s="16">
        <v>0</v>
      </c>
      <c r="T40" s="16">
        <v>1</v>
      </c>
      <c r="U40" s="16">
        <v>5</v>
      </c>
      <c r="V40" s="16">
        <v>153</v>
      </c>
      <c r="W40" s="16">
        <v>2277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3252</v>
      </c>
      <c r="AG40" s="16">
        <v>273</v>
      </c>
      <c r="AH40" s="16">
        <v>25</v>
      </c>
      <c r="AI40" s="16">
        <v>0</v>
      </c>
      <c r="AJ40" s="16">
        <v>0</v>
      </c>
      <c r="AK40" s="16">
        <v>97</v>
      </c>
      <c r="AL40" s="16">
        <v>0</v>
      </c>
      <c r="AM40" s="16">
        <v>0</v>
      </c>
      <c r="AN40" s="16">
        <v>0</v>
      </c>
      <c r="AO40" s="16">
        <v>395</v>
      </c>
      <c r="AP40" s="16">
        <v>2857</v>
      </c>
      <c r="AQ40" s="9">
        <v>1</v>
      </c>
    </row>
    <row r="41" spans="1:43" ht="15" thickBot="1" x14ac:dyDescent="0.35">
      <c r="A41" s="7"/>
      <c r="B41" s="8" t="s">
        <v>113</v>
      </c>
      <c r="C41" s="17">
        <f t="shared" ref="C41:AQ41" si="0">SUM(C8:C40)</f>
        <v>252619</v>
      </c>
      <c r="D41" s="17">
        <f t="shared" si="0"/>
        <v>137791</v>
      </c>
      <c r="E41" s="17">
        <f t="shared" si="0"/>
        <v>22971</v>
      </c>
      <c r="F41" s="17">
        <f t="shared" si="0"/>
        <v>32157</v>
      </c>
      <c r="G41" s="17">
        <f t="shared" si="0"/>
        <v>13783</v>
      </c>
      <c r="H41" s="17">
        <f t="shared" si="0"/>
        <v>0</v>
      </c>
      <c r="I41" s="17">
        <f t="shared" si="0"/>
        <v>1187</v>
      </c>
      <c r="J41" s="17">
        <f t="shared" si="0"/>
        <v>20798</v>
      </c>
      <c r="K41" s="17">
        <f t="shared" si="0"/>
        <v>282017</v>
      </c>
      <c r="L41" s="17">
        <f t="shared" si="0"/>
        <v>195.5</v>
      </c>
      <c r="M41" s="17">
        <f t="shared" si="0"/>
        <v>37200</v>
      </c>
      <c r="N41" s="17">
        <f t="shared" si="0"/>
        <v>0</v>
      </c>
      <c r="O41" s="17">
        <f t="shared" si="0"/>
        <v>22285</v>
      </c>
      <c r="P41" s="17">
        <f t="shared" si="0"/>
        <v>1000</v>
      </c>
      <c r="Q41" s="17">
        <f t="shared" si="0"/>
        <v>2986.5</v>
      </c>
      <c r="R41" s="17">
        <f t="shared" si="0"/>
        <v>28</v>
      </c>
      <c r="S41" s="17">
        <f t="shared" si="0"/>
        <v>120</v>
      </c>
      <c r="T41" s="17">
        <f t="shared" si="0"/>
        <v>98</v>
      </c>
      <c r="U41" s="17">
        <f t="shared" si="0"/>
        <v>413</v>
      </c>
      <c r="V41" s="17">
        <f t="shared" si="0"/>
        <v>22187</v>
      </c>
      <c r="W41" s="17">
        <f t="shared" si="0"/>
        <v>313626</v>
      </c>
      <c r="X41" s="17">
        <f t="shared" si="0"/>
        <v>0</v>
      </c>
      <c r="Y41" s="17">
        <f t="shared" si="0"/>
        <v>0</v>
      </c>
      <c r="Z41" s="17">
        <f t="shared" si="0"/>
        <v>0</v>
      </c>
      <c r="AA41" s="17">
        <f t="shared" si="0"/>
        <v>0</v>
      </c>
      <c r="AB41" s="17">
        <f t="shared" si="0"/>
        <v>0</v>
      </c>
      <c r="AC41" s="17">
        <f t="shared" si="0"/>
        <v>33182</v>
      </c>
      <c r="AD41" s="17">
        <f t="shared" si="0"/>
        <v>22985</v>
      </c>
      <c r="AE41" s="17">
        <f t="shared" si="0"/>
        <v>22957</v>
      </c>
      <c r="AF41" s="17">
        <f t="shared" si="0"/>
        <v>492503</v>
      </c>
      <c r="AG41" s="17">
        <f t="shared" si="0"/>
        <v>37635</v>
      </c>
      <c r="AH41" s="17">
        <f t="shared" si="0"/>
        <v>2122</v>
      </c>
      <c r="AI41" s="17">
        <f t="shared" si="0"/>
        <v>5787</v>
      </c>
      <c r="AJ41" s="17">
        <f t="shared" si="0"/>
        <v>0</v>
      </c>
      <c r="AK41" s="17">
        <f t="shared" si="0"/>
        <v>13489</v>
      </c>
      <c r="AL41" s="17">
        <f t="shared" si="0"/>
        <v>680</v>
      </c>
      <c r="AM41" s="17">
        <f t="shared" si="0"/>
        <v>0</v>
      </c>
      <c r="AN41" s="17">
        <f t="shared" si="0"/>
        <v>100</v>
      </c>
      <c r="AO41" s="17">
        <f t="shared" si="0"/>
        <v>59813</v>
      </c>
      <c r="AP41" s="17">
        <f t="shared" si="0"/>
        <v>432690</v>
      </c>
      <c r="AQ41" s="18">
        <f t="shared" si="0"/>
        <v>33</v>
      </c>
    </row>
    <row r="42" spans="1:43" ht="15" thickTop="1" x14ac:dyDescent="0.3">
      <c r="A42" s="7" t="s">
        <v>114</v>
      </c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</row>
    <row r="43" spans="1:43" x14ac:dyDescent="0.3">
      <c r="A43" s="7" t="s">
        <v>45</v>
      </c>
      <c r="B43" s="8" t="s">
        <v>46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</row>
    <row r="44" spans="1:43" x14ac:dyDescent="0.3">
      <c r="A44" s="9" t="s">
        <v>116</v>
      </c>
      <c r="B44" s="11" t="s">
        <v>115</v>
      </c>
      <c r="C44" s="16">
        <v>13595</v>
      </c>
      <c r="D44" s="16">
        <v>7416</v>
      </c>
      <c r="E44" s="16">
        <v>1236</v>
      </c>
      <c r="F44" s="16">
        <v>1730</v>
      </c>
      <c r="G44" s="16">
        <v>742</v>
      </c>
      <c r="H44" s="16">
        <v>0</v>
      </c>
      <c r="I44" s="16">
        <v>0</v>
      </c>
      <c r="J44" s="16">
        <v>8434</v>
      </c>
      <c r="K44" s="16">
        <v>0</v>
      </c>
      <c r="L44" s="16">
        <v>53</v>
      </c>
      <c r="M44" s="16">
        <v>1937</v>
      </c>
      <c r="N44" s="16">
        <v>0</v>
      </c>
      <c r="O44" s="16">
        <v>1305</v>
      </c>
      <c r="P44" s="16">
        <v>500</v>
      </c>
      <c r="Q44" s="16">
        <v>82</v>
      </c>
      <c r="R44" s="16">
        <v>0</v>
      </c>
      <c r="S44" s="16">
        <v>0</v>
      </c>
      <c r="T44" s="16">
        <v>0</v>
      </c>
      <c r="U44" s="16">
        <v>0</v>
      </c>
      <c r="V44" s="16">
        <v>1305</v>
      </c>
      <c r="W44" s="16">
        <v>17302.57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5506</v>
      </c>
      <c r="AD44" s="16">
        <v>8934</v>
      </c>
      <c r="AE44" s="16">
        <v>8934</v>
      </c>
      <c r="AF44" s="16">
        <v>30225</v>
      </c>
      <c r="AG44" s="16">
        <v>2076</v>
      </c>
      <c r="AH44" s="16">
        <v>0</v>
      </c>
      <c r="AI44" s="16">
        <v>208</v>
      </c>
      <c r="AJ44" s="16">
        <v>0</v>
      </c>
      <c r="AK44" s="16">
        <v>493</v>
      </c>
      <c r="AL44" s="16">
        <v>0</v>
      </c>
      <c r="AM44" s="16">
        <v>2403</v>
      </c>
      <c r="AN44" s="16">
        <v>0</v>
      </c>
      <c r="AO44" s="16">
        <v>5180</v>
      </c>
      <c r="AP44" s="16">
        <v>25045</v>
      </c>
      <c r="AQ44" s="9">
        <v>-1</v>
      </c>
    </row>
    <row r="45" spans="1:43" x14ac:dyDescent="0.3">
      <c r="A45" s="9" t="s">
        <v>118</v>
      </c>
      <c r="B45" s="11" t="s">
        <v>117</v>
      </c>
      <c r="C45" s="16">
        <v>9525</v>
      </c>
      <c r="D45" s="16">
        <v>5195</v>
      </c>
      <c r="E45" s="16">
        <v>866</v>
      </c>
      <c r="F45" s="16">
        <v>1212</v>
      </c>
      <c r="G45" s="16">
        <v>520</v>
      </c>
      <c r="H45" s="16">
        <v>0</v>
      </c>
      <c r="I45" s="16">
        <v>1461.54</v>
      </c>
      <c r="J45" s="16">
        <v>855</v>
      </c>
      <c r="K45" s="16">
        <v>0</v>
      </c>
      <c r="L45" s="16">
        <v>8</v>
      </c>
      <c r="M45" s="16">
        <v>1336.3</v>
      </c>
      <c r="N45" s="16">
        <v>0</v>
      </c>
      <c r="O45" s="16">
        <v>985</v>
      </c>
      <c r="P45" s="16">
        <v>0</v>
      </c>
      <c r="Q45" s="16">
        <v>86</v>
      </c>
      <c r="R45" s="16">
        <v>0</v>
      </c>
      <c r="S45" s="16">
        <v>0</v>
      </c>
      <c r="T45" s="16">
        <v>0</v>
      </c>
      <c r="U45" s="16">
        <v>0</v>
      </c>
      <c r="V45" s="16">
        <v>985</v>
      </c>
      <c r="W45" s="16">
        <v>12123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4439</v>
      </c>
      <c r="AD45" s="16">
        <v>2317</v>
      </c>
      <c r="AE45" s="16">
        <v>2317</v>
      </c>
      <c r="AF45" s="16">
        <v>21757</v>
      </c>
      <c r="AG45" s="16">
        <v>1455</v>
      </c>
      <c r="AH45" s="16">
        <v>0</v>
      </c>
      <c r="AI45" s="16">
        <v>208</v>
      </c>
      <c r="AJ45" s="16">
        <v>0</v>
      </c>
      <c r="AK45" s="16">
        <v>514</v>
      </c>
      <c r="AL45" s="16">
        <v>0</v>
      </c>
      <c r="AM45" s="16">
        <v>801</v>
      </c>
      <c r="AN45" s="16">
        <v>100</v>
      </c>
      <c r="AO45" s="16">
        <v>3078</v>
      </c>
      <c r="AP45" s="16">
        <v>18679</v>
      </c>
      <c r="AQ45" s="9">
        <v>-1</v>
      </c>
    </row>
    <row r="46" spans="1:43" x14ac:dyDescent="0.3">
      <c r="A46" s="9" t="s">
        <v>120</v>
      </c>
      <c r="B46" s="11" t="s">
        <v>119</v>
      </c>
      <c r="C46" s="16">
        <v>5471</v>
      </c>
      <c r="D46" s="16">
        <v>2984</v>
      </c>
      <c r="E46" s="16">
        <v>497</v>
      </c>
      <c r="F46" s="16">
        <v>696</v>
      </c>
      <c r="G46" s="16">
        <v>298</v>
      </c>
      <c r="H46" s="16">
        <v>0</v>
      </c>
      <c r="I46" s="16">
        <v>115.38</v>
      </c>
      <c r="J46" s="16">
        <v>0</v>
      </c>
      <c r="K46" s="16">
        <v>0</v>
      </c>
      <c r="L46" s="16">
        <v>0</v>
      </c>
      <c r="M46" s="16">
        <v>1143.0899999999999</v>
      </c>
      <c r="N46" s="16">
        <v>0</v>
      </c>
      <c r="O46" s="16">
        <v>521</v>
      </c>
      <c r="P46" s="16">
        <v>0</v>
      </c>
      <c r="Q46" s="16">
        <v>85</v>
      </c>
      <c r="R46" s="16">
        <v>0</v>
      </c>
      <c r="S46" s="16">
        <v>0</v>
      </c>
      <c r="T46" s="16">
        <v>0</v>
      </c>
      <c r="U46" s="16">
        <v>0</v>
      </c>
      <c r="V46" s="16">
        <v>521</v>
      </c>
      <c r="W46" s="16">
        <v>6962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1691</v>
      </c>
      <c r="AD46" s="16">
        <v>115</v>
      </c>
      <c r="AE46" s="16">
        <v>115</v>
      </c>
      <c r="AF46" s="16">
        <v>11637</v>
      </c>
      <c r="AG46" s="16">
        <v>835</v>
      </c>
      <c r="AH46" s="16">
        <v>0</v>
      </c>
      <c r="AI46" s="16">
        <v>171</v>
      </c>
      <c r="AJ46" s="16">
        <v>0</v>
      </c>
      <c r="AK46" s="16">
        <v>321</v>
      </c>
      <c r="AL46" s="16">
        <v>0</v>
      </c>
      <c r="AM46" s="16">
        <v>801</v>
      </c>
      <c r="AN46" s="16">
        <v>0</v>
      </c>
      <c r="AO46" s="16">
        <v>2128</v>
      </c>
      <c r="AP46" s="16">
        <v>9509</v>
      </c>
      <c r="AQ46" s="9">
        <v>-1</v>
      </c>
    </row>
    <row r="47" spans="1:43" x14ac:dyDescent="0.3">
      <c r="A47" s="9" t="s">
        <v>122</v>
      </c>
      <c r="B47" s="11" t="s">
        <v>121</v>
      </c>
      <c r="C47" s="16">
        <v>2188</v>
      </c>
      <c r="D47" s="16">
        <v>1194</v>
      </c>
      <c r="E47" s="16">
        <v>199</v>
      </c>
      <c r="F47" s="16">
        <v>279</v>
      </c>
      <c r="G47" s="16">
        <v>119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1143.0899999999999</v>
      </c>
      <c r="N47" s="16">
        <v>0</v>
      </c>
      <c r="O47" s="16">
        <v>208</v>
      </c>
      <c r="P47" s="16">
        <v>0</v>
      </c>
      <c r="Q47" s="16">
        <v>85</v>
      </c>
      <c r="R47" s="16">
        <v>0</v>
      </c>
      <c r="S47" s="16">
        <v>0</v>
      </c>
      <c r="T47" s="16">
        <v>0</v>
      </c>
      <c r="U47" s="16">
        <v>0</v>
      </c>
      <c r="V47" s="16">
        <v>208</v>
      </c>
      <c r="W47" s="16">
        <v>2785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676</v>
      </c>
      <c r="AD47" s="16">
        <v>0</v>
      </c>
      <c r="AE47" s="16">
        <v>0</v>
      </c>
      <c r="AF47" s="16">
        <v>4655</v>
      </c>
      <c r="AG47" s="16">
        <v>334</v>
      </c>
      <c r="AH47" s="16">
        <v>0</v>
      </c>
      <c r="AI47" s="16">
        <v>30</v>
      </c>
      <c r="AJ47" s="16">
        <v>0</v>
      </c>
      <c r="AK47" s="16">
        <v>129</v>
      </c>
      <c r="AL47" s="16">
        <v>0</v>
      </c>
      <c r="AM47" s="16">
        <v>801</v>
      </c>
      <c r="AN47" s="16">
        <v>0</v>
      </c>
      <c r="AO47" s="16">
        <v>1294</v>
      </c>
      <c r="AP47" s="16">
        <v>3361</v>
      </c>
      <c r="AQ47" s="9">
        <v>-1</v>
      </c>
    </row>
    <row r="48" spans="1:43" x14ac:dyDescent="0.3">
      <c r="A48" s="9" t="s">
        <v>124</v>
      </c>
      <c r="B48" s="11" t="s">
        <v>123</v>
      </c>
      <c r="C48" s="16">
        <v>10634</v>
      </c>
      <c r="D48" s="16">
        <v>5800</v>
      </c>
      <c r="E48" s="16">
        <v>967</v>
      </c>
      <c r="F48" s="16">
        <v>1353</v>
      </c>
      <c r="G48" s="16">
        <v>580</v>
      </c>
      <c r="H48" s="16">
        <v>0</v>
      </c>
      <c r="I48" s="16">
        <v>769.23</v>
      </c>
      <c r="J48" s="16">
        <v>1729</v>
      </c>
      <c r="K48" s="16">
        <v>0</v>
      </c>
      <c r="L48" s="16">
        <v>16</v>
      </c>
      <c r="M48" s="16">
        <v>1174.67</v>
      </c>
      <c r="N48" s="16">
        <v>0</v>
      </c>
      <c r="O48" s="16">
        <v>889</v>
      </c>
      <c r="P48" s="16">
        <v>0</v>
      </c>
      <c r="Q48" s="16">
        <v>80</v>
      </c>
      <c r="R48" s="16">
        <v>0</v>
      </c>
      <c r="S48" s="16">
        <v>0</v>
      </c>
      <c r="T48" s="16">
        <v>0</v>
      </c>
      <c r="U48" s="16">
        <v>0</v>
      </c>
      <c r="V48" s="16">
        <v>889</v>
      </c>
      <c r="W48" s="16">
        <v>13534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1789</v>
      </c>
      <c r="AD48" s="16">
        <v>2498</v>
      </c>
      <c r="AE48" s="16">
        <v>2498</v>
      </c>
      <c r="AF48" s="16">
        <v>21123</v>
      </c>
      <c r="AG48" s="16">
        <v>1624</v>
      </c>
      <c r="AH48" s="16">
        <v>0</v>
      </c>
      <c r="AI48" s="16">
        <v>208</v>
      </c>
      <c r="AJ48" s="16">
        <v>0</v>
      </c>
      <c r="AK48" s="16">
        <v>568</v>
      </c>
      <c r="AL48" s="16">
        <v>0</v>
      </c>
      <c r="AM48" s="16">
        <v>801</v>
      </c>
      <c r="AN48" s="16">
        <v>0</v>
      </c>
      <c r="AO48" s="16">
        <v>3201</v>
      </c>
      <c r="AP48" s="16">
        <v>17922</v>
      </c>
      <c r="AQ48" s="9">
        <v>-1</v>
      </c>
    </row>
    <row r="49" spans="1:43" x14ac:dyDescent="0.3">
      <c r="A49" s="9" t="s">
        <v>126</v>
      </c>
      <c r="B49" s="11" t="s">
        <v>125</v>
      </c>
      <c r="C49" s="16">
        <v>1264</v>
      </c>
      <c r="D49" s="16">
        <v>689</v>
      </c>
      <c r="E49" s="16">
        <v>115</v>
      </c>
      <c r="F49" s="16">
        <v>161</v>
      </c>
      <c r="G49" s="16">
        <v>69</v>
      </c>
      <c r="H49" s="16">
        <v>0</v>
      </c>
      <c r="I49" s="16">
        <v>57.69</v>
      </c>
      <c r="J49" s="16">
        <v>908</v>
      </c>
      <c r="K49" s="16">
        <v>0</v>
      </c>
      <c r="L49" s="16">
        <v>8</v>
      </c>
      <c r="M49" s="16">
        <v>1410</v>
      </c>
      <c r="N49" s="16">
        <v>0</v>
      </c>
      <c r="O49" s="16">
        <v>128</v>
      </c>
      <c r="P49" s="16">
        <v>0</v>
      </c>
      <c r="Q49" s="16">
        <v>85</v>
      </c>
      <c r="R49" s="16">
        <v>0</v>
      </c>
      <c r="S49" s="16">
        <v>0</v>
      </c>
      <c r="T49" s="16">
        <v>0</v>
      </c>
      <c r="U49" s="16">
        <v>0</v>
      </c>
      <c r="V49" s="16">
        <v>128</v>
      </c>
      <c r="W49" s="16">
        <v>1609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723</v>
      </c>
      <c r="AD49" s="16">
        <v>966</v>
      </c>
      <c r="AE49" s="16">
        <v>966</v>
      </c>
      <c r="AF49" s="16">
        <v>3021</v>
      </c>
      <c r="AG49" s="16">
        <v>193</v>
      </c>
      <c r="AH49" s="16">
        <v>0</v>
      </c>
      <c r="AI49" s="16">
        <v>0</v>
      </c>
      <c r="AJ49" s="16">
        <v>0</v>
      </c>
      <c r="AK49" s="16">
        <v>64</v>
      </c>
      <c r="AL49" s="16">
        <v>0</v>
      </c>
      <c r="AM49" s="16">
        <v>2403</v>
      </c>
      <c r="AN49" s="16">
        <v>0</v>
      </c>
      <c r="AO49" s="16">
        <v>2660</v>
      </c>
      <c r="AP49" s="16">
        <v>361</v>
      </c>
      <c r="AQ49" s="9">
        <v>-1</v>
      </c>
    </row>
    <row r="50" spans="1:43" x14ac:dyDescent="0.3">
      <c r="A50" s="9" t="s">
        <v>128</v>
      </c>
      <c r="B50" s="11" t="s">
        <v>127</v>
      </c>
      <c r="C50" s="16">
        <v>1817</v>
      </c>
      <c r="D50" s="16">
        <v>991</v>
      </c>
      <c r="E50" s="16">
        <v>165</v>
      </c>
      <c r="F50" s="16">
        <v>231</v>
      </c>
      <c r="G50" s="16">
        <v>99</v>
      </c>
      <c r="H50" s="16">
        <v>0</v>
      </c>
      <c r="I50" s="16">
        <v>0</v>
      </c>
      <c r="J50" s="16">
        <v>0</v>
      </c>
      <c r="K50" s="16">
        <v>3303</v>
      </c>
      <c r="L50" s="16">
        <v>0</v>
      </c>
      <c r="M50" s="16">
        <v>925</v>
      </c>
      <c r="N50" s="16">
        <v>0</v>
      </c>
      <c r="O50" s="16">
        <v>165</v>
      </c>
      <c r="P50" s="16">
        <v>0</v>
      </c>
      <c r="Q50" s="16">
        <v>100</v>
      </c>
      <c r="R50" s="16">
        <v>0</v>
      </c>
      <c r="S50" s="16">
        <v>0</v>
      </c>
      <c r="T50" s="16">
        <v>1</v>
      </c>
      <c r="U50" s="16">
        <v>5</v>
      </c>
      <c r="V50" s="16">
        <v>164</v>
      </c>
      <c r="W50" s="16">
        <v>2312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3303</v>
      </c>
      <c r="AG50" s="16">
        <v>277</v>
      </c>
      <c r="AH50" s="16">
        <v>25</v>
      </c>
      <c r="AI50" s="16">
        <v>0</v>
      </c>
      <c r="AJ50" s="16">
        <v>0</v>
      </c>
      <c r="AK50" s="16">
        <v>107</v>
      </c>
      <c r="AL50" s="16">
        <v>0</v>
      </c>
      <c r="AM50" s="16">
        <v>0</v>
      </c>
      <c r="AN50" s="16">
        <v>0</v>
      </c>
      <c r="AO50" s="16">
        <v>409</v>
      </c>
      <c r="AP50" s="16">
        <v>2894</v>
      </c>
      <c r="AQ50" s="9">
        <v>-1</v>
      </c>
    </row>
    <row r="51" spans="1:43" x14ac:dyDescent="0.3">
      <c r="A51" s="9" t="s">
        <v>130</v>
      </c>
      <c r="B51" s="11" t="s">
        <v>129</v>
      </c>
      <c r="C51" s="16">
        <v>10013</v>
      </c>
      <c r="D51" s="16">
        <v>5461</v>
      </c>
      <c r="E51" s="16">
        <v>910</v>
      </c>
      <c r="F51" s="16">
        <v>1274</v>
      </c>
      <c r="G51" s="16">
        <v>546</v>
      </c>
      <c r="H51" s="16">
        <v>0</v>
      </c>
      <c r="I51" s="16">
        <v>1134.6199999999999</v>
      </c>
      <c r="J51" s="16">
        <v>1659</v>
      </c>
      <c r="K51" s="16">
        <v>18204</v>
      </c>
      <c r="L51" s="16">
        <v>16</v>
      </c>
      <c r="M51" s="16">
        <v>980</v>
      </c>
      <c r="N51" s="16">
        <v>0</v>
      </c>
      <c r="O51" s="16">
        <v>774</v>
      </c>
      <c r="P51" s="16">
        <v>0</v>
      </c>
      <c r="Q51" s="16">
        <v>85</v>
      </c>
      <c r="R51" s="16">
        <v>21</v>
      </c>
      <c r="S51" s="16">
        <v>91</v>
      </c>
      <c r="T51" s="16">
        <v>6</v>
      </c>
      <c r="U51" s="16">
        <v>25</v>
      </c>
      <c r="V51" s="16">
        <v>768</v>
      </c>
      <c r="W51" s="16">
        <v>12743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2794</v>
      </c>
      <c r="AE51" s="16">
        <v>2773</v>
      </c>
      <c r="AF51" s="16">
        <v>18204</v>
      </c>
      <c r="AG51" s="16">
        <v>1529</v>
      </c>
      <c r="AH51" s="16">
        <v>137</v>
      </c>
      <c r="AI51" s="16">
        <v>208</v>
      </c>
      <c r="AJ51" s="16">
        <v>0</v>
      </c>
      <c r="AK51" s="16">
        <v>557</v>
      </c>
      <c r="AL51" s="16">
        <v>0</v>
      </c>
      <c r="AM51" s="16">
        <v>0</v>
      </c>
      <c r="AN51" s="16">
        <v>0</v>
      </c>
      <c r="AO51" s="16">
        <v>2431</v>
      </c>
      <c r="AP51" s="16">
        <v>15773</v>
      </c>
      <c r="AQ51" s="9">
        <v>-1</v>
      </c>
    </row>
    <row r="52" spans="1:43" x14ac:dyDescent="0.3">
      <c r="A52" s="9" t="s">
        <v>132</v>
      </c>
      <c r="B52" s="11" t="s">
        <v>131</v>
      </c>
      <c r="C52" s="16">
        <v>1454</v>
      </c>
      <c r="D52" s="16">
        <v>793</v>
      </c>
      <c r="E52" s="16">
        <v>132</v>
      </c>
      <c r="F52" s="16">
        <v>185</v>
      </c>
      <c r="G52" s="16">
        <v>79</v>
      </c>
      <c r="H52" s="16">
        <v>0</v>
      </c>
      <c r="I52" s="16">
        <v>182.69</v>
      </c>
      <c r="J52" s="16">
        <v>783</v>
      </c>
      <c r="K52" s="16">
        <v>2643</v>
      </c>
      <c r="L52" s="16">
        <v>8</v>
      </c>
      <c r="M52" s="16">
        <v>925</v>
      </c>
      <c r="N52" s="16">
        <v>0</v>
      </c>
      <c r="O52" s="16">
        <v>112</v>
      </c>
      <c r="P52" s="16">
        <v>0</v>
      </c>
      <c r="Q52" s="16">
        <v>85</v>
      </c>
      <c r="R52" s="16">
        <v>7</v>
      </c>
      <c r="S52" s="16">
        <v>31</v>
      </c>
      <c r="T52" s="16">
        <v>1</v>
      </c>
      <c r="U52" s="16">
        <v>4</v>
      </c>
      <c r="V52" s="16">
        <v>111</v>
      </c>
      <c r="W52" s="16">
        <v>1850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966</v>
      </c>
      <c r="AE52" s="16">
        <v>959</v>
      </c>
      <c r="AF52" s="16">
        <v>2643</v>
      </c>
      <c r="AG52" s="16">
        <v>222</v>
      </c>
      <c r="AH52" s="16">
        <v>20</v>
      </c>
      <c r="AI52" s="16">
        <v>0</v>
      </c>
      <c r="AJ52" s="16">
        <v>0</v>
      </c>
      <c r="AK52" s="16">
        <v>86</v>
      </c>
      <c r="AL52" s="16">
        <v>0</v>
      </c>
      <c r="AM52" s="16">
        <v>0</v>
      </c>
      <c r="AN52" s="16">
        <v>0</v>
      </c>
      <c r="AO52" s="16">
        <v>328</v>
      </c>
      <c r="AP52" s="16">
        <v>2315</v>
      </c>
      <c r="AQ52" s="9">
        <v>-1</v>
      </c>
    </row>
    <row r="53" spans="1:43" x14ac:dyDescent="0.3">
      <c r="A53" s="9" t="s">
        <v>134</v>
      </c>
      <c r="B53" s="11" t="s">
        <v>133</v>
      </c>
      <c r="C53" s="16">
        <v>9323</v>
      </c>
      <c r="D53" s="16">
        <v>5085</v>
      </c>
      <c r="E53" s="16">
        <v>848</v>
      </c>
      <c r="F53" s="16">
        <v>1187</v>
      </c>
      <c r="G53" s="16">
        <v>509</v>
      </c>
      <c r="H53" s="16">
        <v>0</v>
      </c>
      <c r="I53" s="16">
        <v>0</v>
      </c>
      <c r="J53" s="16">
        <v>1972</v>
      </c>
      <c r="K53" s="16">
        <v>16952</v>
      </c>
      <c r="L53" s="16">
        <v>22</v>
      </c>
      <c r="M53" s="16">
        <v>848</v>
      </c>
      <c r="N53" s="16">
        <v>0</v>
      </c>
      <c r="O53" s="16">
        <v>721</v>
      </c>
      <c r="P53" s="16">
        <v>0</v>
      </c>
      <c r="Q53" s="16">
        <v>85</v>
      </c>
      <c r="R53" s="16">
        <v>15</v>
      </c>
      <c r="S53" s="16">
        <v>64</v>
      </c>
      <c r="T53" s="16">
        <v>5</v>
      </c>
      <c r="U53" s="16">
        <v>23</v>
      </c>
      <c r="V53" s="16">
        <v>716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1972</v>
      </c>
      <c r="AE53" s="16">
        <v>1957</v>
      </c>
      <c r="AF53" s="16">
        <v>16952</v>
      </c>
      <c r="AG53" s="16">
        <v>0</v>
      </c>
      <c r="AH53" s="16">
        <v>128</v>
      </c>
      <c r="AI53" s="16">
        <v>208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336</v>
      </c>
      <c r="AP53" s="16">
        <v>16616</v>
      </c>
      <c r="AQ53" s="9">
        <v>-1</v>
      </c>
    </row>
    <row r="54" spans="1:43" x14ac:dyDescent="0.3">
      <c r="A54" s="9" t="s">
        <v>136</v>
      </c>
      <c r="B54" s="11" t="s">
        <v>135</v>
      </c>
      <c r="C54" s="16">
        <v>2357</v>
      </c>
      <c r="D54" s="16">
        <v>1286</v>
      </c>
      <c r="E54" s="16">
        <v>214</v>
      </c>
      <c r="F54" s="16">
        <v>300</v>
      </c>
      <c r="G54" s="16">
        <v>129</v>
      </c>
      <c r="H54" s="16">
        <v>0</v>
      </c>
      <c r="I54" s="16">
        <v>76.92</v>
      </c>
      <c r="J54" s="16">
        <v>317</v>
      </c>
      <c r="K54" s="16">
        <v>0</v>
      </c>
      <c r="L54" s="16">
        <v>4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394</v>
      </c>
      <c r="AE54" s="16">
        <v>394</v>
      </c>
      <c r="AF54" s="16">
        <v>4286</v>
      </c>
      <c r="AG54" s="16">
        <v>0</v>
      </c>
      <c r="AH54" s="16">
        <v>0</v>
      </c>
      <c r="AI54" s="16">
        <v>0</v>
      </c>
      <c r="AJ54" s="16">
        <v>0</v>
      </c>
      <c r="AK54" s="16">
        <v>171</v>
      </c>
      <c r="AL54" s="16">
        <v>0</v>
      </c>
      <c r="AM54" s="16">
        <v>0</v>
      </c>
      <c r="AN54" s="16">
        <v>0</v>
      </c>
      <c r="AO54" s="16">
        <v>171</v>
      </c>
      <c r="AP54" s="16">
        <v>4115</v>
      </c>
      <c r="AQ54" s="9">
        <v>-1</v>
      </c>
    </row>
    <row r="55" spans="1:43" x14ac:dyDescent="0.3">
      <c r="A55" s="9" t="s">
        <v>138</v>
      </c>
      <c r="B55" s="11" t="s">
        <v>137</v>
      </c>
      <c r="C55" s="16">
        <v>1685</v>
      </c>
      <c r="D55" s="16">
        <v>919</v>
      </c>
      <c r="E55" s="16">
        <v>153</v>
      </c>
      <c r="F55" s="16">
        <v>215</v>
      </c>
      <c r="G55" s="16">
        <v>92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1281</v>
      </c>
      <c r="N55" s="16">
        <v>0</v>
      </c>
      <c r="O55" s="16">
        <v>156</v>
      </c>
      <c r="P55" s="16">
        <v>0</v>
      </c>
      <c r="Q55" s="16">
        <v>85</v>
      </c>
      <c r="R55" s="16">
        <v>0</v>
      </c>
      <c r="S55" s="16">
        <v>0</v>
      </c>
      <c r="T55" s="16">
        <v>0</v>
      </c>
      <c r="U55" s="16">
        <v>0</v>
      </c>
      <c r="V55" s="16">
        <v>156</v>
      </c>
      <c r="W55" s="16">
        <v>2145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594</v>
      </c>
      <c r="AD55" s="16">
        <v>0</v>
      </c>
      <c r="AE55" s="16">
        <v>0</v>
      </c>
      <c r="AF55" s="16">
        <v>3658</v>
      </c>
      <c r="AG55" s="16">
        <v>257</v>
      </c>
      <c r="AH55" s="16">
        <v>0</v>
      </c>
      <c r="AI55" s="16">
        <v>30</v>
      </c>
      <c r="AJ55" s="16">
        <v>0</v>
      </c>
      <c r="AK55" s="16">
        <v>86</v>
      </c>
      <c r="AL55" s="16">
        <v>0</v>
      </c>
      <c r="AM55" s="16">
        <v>1602</v>
      </c>
      <c r="AN55" s="16">
        <v>0</v>
      </c>
      <c r="AO55" s="16">
        <v>1975</v>
      </c>
      <c r="AP55" s="16">
        <v>1683</v>
      </c>
      <c r="AQ55" s="9">
        <v>-1</v>
      </c>
    </row>
    <row r="56" spans="1:43" x14ac:dyDescent="0.3">
      <c r="A56" s="9" t="s">
        <v>140</v>
      </c>
      <c r="B56" s="11" t="s">
        <v>139</v>
      </c>
      <c r="C56" s="16">
        <v>8427</v>
      </c>
      <c r="D56" s="16">
        <v>4596</v>
      </c>
      <c r="E56" s="16">
        <v>766</v>
      </c>
      <c r="F56" s="16">
        <v>1073</v>
      </c>
      <c r="G56" s="16">
        <v>460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1131</v>
      </c>
      <c r="N56" s="16">
        <v>0</v>
      </c>
      <c r="O56" s="16">
        <v>711</v>
      </c>
      <c r="P56" s="16">
        <v>0</v>
      </c>
      <c r="Q56" s="16">
        <v>88</v>
      </c>
      <c r="R56" s="16">
        <v>0</v>
      </c>
      <c r="S56" s="16">
        <v>0</v>
      </c>
      <c r="T56" s="16">
        <v>0</v>
      </c>
      <c r="U56" s="16">
        <v>0</v>
      </c>
      <c r="V56" s="16">
        <v>711</v>
      </c>
      <c r="W56" s="16">
        <v>10726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829</v>
      </c>
      <c r="AD56" s="16">
        <v>0</v>
      </c>
      <c r="AE56" s="16">
        <v>0</v>
      </c>
      <c r="AF56" s="16">
        <v>16151</v>
      </c>
      <c r="AG56" s="16">
        <v>1287</v>
      </c>
      <c r="AH56" s="16">
        <v>0</v>
      </c>
      <c r="AI56" s="16">
        <v>208</v>
      </c>
      <c r="AJ56" s="16">
        <v>0</v>
      </c>
      <c r="AK56" s="16">
        <v>0</v>
      </c>
      <c r="AL56" s="16">
        <v>0</v>
      </c>
      <c r="AM56" s="16">
        <v>2403</v>
      </c>
      <c r="AN56" s="16">
        <v>0</v>
      </c>
      <c r="AO56" s="16">
        <v>3898</v>
      </c>
      <c r="AP56" s="16">
        <v>12253</v>
      </c>
      <c r="AQ56" s="9">
        <v>-1</v>
      </c>
    </row>
    <row r="57" spans="1:43" x14ac:dyDescent="0.3">
      <c r="A57" s="9" t="s">
        <v>142</v>
      </c>
      <c r="B57" s="11" t="s">
        <v>141</v>
      </c>
      <c r="C57" s="16">
        <v>3948</v>
      </c>
      <c r="D57" s="16">
        <v>2154</v>
      </c>
      <c r="E57" s="16">
        <v>359</v>
      </c>
      <c r="F57" s="16">
        <v>503</v>
      </c>
      <c r="G57" s="16">
        <v>215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2955</v>
      </c>
      <c r="N57" s="16">
        <v>0</v>
      </c>
      <c r="O57" s="16">
        <v>264</v>
      </c>
      <c r="P57" s="16">
        <v>0</v>
      </c>
      <c r="Q57" s="16">
        <v>50</v>
      </c>
      <c r="R57" s="16">
        <v>0</v>
      </c>
      <c r="S57" s="16">
        <v>0</v>
      </c>
      <c r="T57" s="16">
        <v>0</v>
      </c>
      <c r="U57" s="16">
        <v>0</v>
      </c>
      <c r="V57" s="16">
        <v>264</v>
      </c>
      <c r="W57" s="16">
        <v>5025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3375</v>
      </c>
      <c r="AD57" s="16">
        <v>0</v>
      </c>
      <c r="AE57" s="16">
        <v>0</v>
      </c>
      <c r="AF57" s="16">
        <v>10554</v>
      </c>
      <c r="AG57" s="16">
        <v>603</v>
      </c>
      <c r="AH57" s="16">
        <v>0</v>
      </c>
      <c r="AI57" s="16">
        <v>171</v>
      </c>
      <c r="AJ57" s="16">
        <v>0</v>
      </c>
      <c r="AK57" s="16">
        <v>107</v>
      </c>
      <c r="AL57" s="16">
        <v>0</v>
      </c>
      <c r="AM57" s="16">
        <v>2403</v>
      </c>
      <c r="AN57" s="16">
        <v>0</v>
      </c>
      <c r="AO57" s="16">
        <v>3284</v>
      </c>
      <c r="AP57" s="16">
        <v>7270</v>
      </c>
      <c r="AQ57" s="9">
        <v>-1</v>
      </c>
    </row>
    <row r="58" spans="1:43" x14ac:dyDescent="0.3">
      <c r="A58" s="9" t="s">
        <v>144</v>
      </c>
      <c r="B58" s="11" t="s">
        <v>143</v>
      </c>
      <c r="C58" s="16">
        <v>4446</v>
      </c>
      <c r="D58" s="16">
        <v>2425</v>
      </c>
      <c r="E58" s="16">
        <v>404</v>
      </c>
      <c r="F58" s="16">
        <v>566</v>
      </c>
      <c r="G58" s="16">
        <v>242</v>
      </c>
      <c r="H58" s="16">
        <v>0</v>
      </c>
      <c r="I58" s="16">
        <v>0</v>
      </c>
      <c r="J58" s="16">
        <v>0</v>
      </c>
      <c r="K58" s="16">
        <v>8083</v>
      </c>
      <c r="L58" s="16">
        <v>0</v>
      </c>
      <c r="M58" s="16">
        <v>871</v>
      </c>
      <c r="N58" s="16">
        <v>0</v>
      </c>
      <c r="O58" s="16">
        <v>344</v>
      </c>
      <c r="P58" s="16">
        <v>0</v>
      </c>
      <c r="Q58" s="16">
        <v>85</v>
      </c>
      <c r="R58" s="16">
        <v>0</v>
      </c>
      <c r="S58" s="16">
        <v>0</v>
      </c>
      <c r="T58" s="16">
        <v>3</v>
      </c>
      <c r="U58" s="16">
        <v>11</v>
      </c>
      <c r="V58" s="16">
        <v>341</v>
      </c>
      <c r="W58" s="16">
        <v>5658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8083</v>
      </c>
      <c r="AG58" s="16">
        <v>679</v>
      </c>
      <c r="AH58" s="16">
        <v>61</v>
      </c>
      <c r="AI58" s="16">
        <v>155</v>
      </c>
      <c r="AJ58" s="16">
        <v>0</v>
      </c>
      <c r="AK58" s="16">
        <v>279</v>
      </c>
      <c r="AL58" s="16">
        <v>0</v>
      </c>
      <c r="AM58" s="16">
        <v>0</v>
      </c>
      <c r="AN58" s="16">
        <v>0</v>
      </c>
      <c r="AO58" s="16">
        <v>1174</v>
      </c>
      <c r="AP58" s="16">
        <v>6909</v>
      </c>
      <c r="AQ58" s="9">
        <v>-1</v>
      </c>
    </row>
    <row r="59" spans="1:43" x14ac:dyDescent="0.3">
      <c r="A59" s="9" t="s">
        <v>146</v>
      </c>
      <c r="B59" s="11" t="s">
        <v>145</v>
      </c>
      <c r="C59" s="16">
        <v>1685</v>
      </c>
      <c r="D59" s="16">
        <v>919</v>
      </c>
      <c r="E59" s="16">
        <v>153</v>
      </c>
      <c r="F59" s="16">
        <v>215</v>
      </c>
      <c r="G59" s="16">
        <v>92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1381</v>
      </c>
      <c r="N59" s="16">
        <v>0</v>
      </c>
      <c r="O59" s="16">
        <v>158</v>
      </c>
      <c r="P59" s="16">
        <v>0</v>
      </c>
      <c r="Q59" s="16">
        <v>80</v>
      </c>
      <c r="R59" s="16">
        <v>0</v>
      </c>
      <c r="S59" s="16">
        <v>0</v>
      </c>
      <c r="T59" s="16">
        <v>0</v>
      </c>
      <c r="U59" s="16">
        <v>0</v>
      </c>
      <c r="V59" s="16">
        <v>158</v>
      </c>
      <c r="W59" s="16">
        <v>2145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880</v>
      </c>
      <c r="AD59" s="16">
        <v>0</v>
      </c>
      <c r="AE59" s="16">
        <v>0</v>
      </c>
      <c r="AF59" s="16">
        <v>3944</v>
      </c>
      <c r="AG59" s="16">
        <v>257</v>
      </c>
      <c r="AH59" s="16">
        <v>0</v>
      </c>
      <c r="AI59" s="16">
        <v>30</v>
      </c>
      <c r="AJ59" s="16">
        <v>0</v>
      </c>
      <c r="AK59" s="16">
        <v>86</v>
      </c>
      <c r="AL59" s="16">
        <v>0</v>
      </c>
      <c r="AM59" s="16">
        <v>801</v>
      </c>
      <c r="AN59" s="16">
        <v>0</v>
      </c>
      <c r="AO59" s="16">
        <v>1174</v>
      </c>
      <c r="AP59" s="16">
        <v>2770</v>
      </c>
      <c r="AQ59" s="9">
        <v>-1</v>
      </c>
    </row>
    <row r="60" spans="1:43" x14ac:dyDescent="0.3">
      <c r="A60" s="9" t="s">
        <v>148</v>
      </c>
      <c r="B60" s="11" t="s">
        <v>147</v>
      </c>
      <c r="C60" s="16">
        <v>2772</v>
      </c>
      <c r="D60" s="16">
        <v>1512</v>
      </c>
      <c r="E60" s="16">
        <v>252</v>
      </c>
      <c r="F60" s="16">
        <v>353</v>
      </c>
      <c r="G60" s="16">
        <v>151</v>
      </c>
      <c r="H60" s="16">
        <v>0</v>
      </c>
      <c r="I60" s="16">
        <v>0</v>
      </c>
      <c r="J60" s="16">
        <v>0</v>
      </c>
      <c r="K60" s="16">
        <v>5040</v>
      </c>
      <c r="L60" s="16">
        <v>0</v>
      </c>
      <c r="M60" s="16">
        <v>1008</v>
      </c>
      <c r="N60" s="16">
        <v>0</v>
      </c>
      <c r="O60" s="16">
        <v>126</v>
      </c>
      <c r="P60" s="16">
        <v>0</v>
      </c>
      <c r="Q60" s="16">
        <v>50</v>
      </c>
      <c r="R60" s="16">
        <v>0</v>
      </c>
      <c r="S60" s="16">
        <v>0</v>
      </c>
      <c r="T60" s="16">
        <v>1</v>
      </c>
      <c r="U60" s="16">
        <v>4</v>
      </c>
      <c r="V60" s="16">
        <v>125</v>
      </c>
      <c r="W60" s="16">
        <v>3528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5040</v>
      </c>
      <c r="AG60" s="16">
        <v>423</v>
      </c>
      <c r="AH60" s="16">
        <v>38</v>
      </c>
      <c r="AI60" s="16">
        <v>72</v>
      </c>
      <c r="AJ60" s="16">
        <v>0</v>
      </c>
      <c r="AK60" s="16">
        <v>150</v>
      </c>
      <c r="AL60" s="16">
        <v>0</v>
      </c>
      <c r="AM60" s="16">
        <v>0</v>
      </c>
      <c r="AN60" s="16">
        <v>100</v>
      </c>
      <c r="AO60" s="16">
        <v>783</v>
      </c>
      <c r="AP60" s="16">
        <v>4257</v>
      </c>
      <c r="AQ60" s="9">
        <v>-1</v>
      </c>
    </row>
    <row r="61" spans="1:43" x14ac:dyDescent="0.3">
      <c r="A61" s="9" t="s">
        <v>150</v>
      </c>
      <c r="B61" s="11" t="s">
        <v>149</v>
      </c>
      <c r="C61" s="16">
        <v>2486</v>
      </c>
      <c r="D61" s="16">
        <v>1356</v>
      </c>
      <c r="E61" s="16">
        <v>226</v>
      </c>
      <c r="F61" s="16">
        <v>316</v>
      </c>
      <c r="G61" s="16">
        <v>136</v>
      </c>
      <c r="H61" s="16">
        <v>0</v>
      </c>
      <c r="I61" s="16">
        <v>0</v>
      </c>
      <c r="J61" s="16">
        <v>1071</v>
      </c>
      <c r="K61" s="16">
        <v>0</v>
      </c>
      <c r="L61" s="16">
        <v>8</v>
      </c>
      <c r="M61" s="16">
        <v>1898.75</v>
      </c>
      <c r="N61" s="16">
        <v>0</v>
      </c>
      <c r="O61" s="16">
        <v>220</v>
      </c>
      <c r="P61" s="16">
        <v>0</v>
      </c>
      <c r="Q61" s="16">
        <v>65</v>
      </c>
      <c r="R61" s="16">
        <v>0</v>
      </c>
      <c r="S61" s="16">
        <v>0</v>
      </c>
      <c r="T61" s="16">
        <v>0</v>
      </c>
      <c r="U61" s="16">
        <v>0</v>
      </c>
      <c r="V61" s="16">
        <v>220</v>
      </c>
      <c r="W61" s="16">
        <v>3164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1921</v>
      </c>
      <c r="AD61" s="16">
        <v>1071</v>
      </c>
      <c r="AE61" s="16">
        <v>1071</v>
      </c>
      <c r="AF61" s="16">
        <v>6441</v>
      </c>
      <c r="AG61" s="16">
        <v>380</v>
      </c>
      <c r="AH61" s="16">
        <v>0</v>
      </c>
      <c r="AI61" s="16">
        <v>72</v>
      </c>
      <c r="AJ61" s="16">
        <v>0</v>
      </c>
      <c r="AK61" s="16">
        <v>107</v>
      </c>
      <c r="AL61" s="16">
        <v>0</v>
      </c>
      <c r="AM61" s="16">
        <v>2403</v>
      </c>
      <c r="AN61" s="16">
        <v>0</v>
      </c>
      <c r="AO61" s="16">
        <v>2962</v>
      </c>
      <c r="AP61" s="16">
        <v>3479</v>
      </c>
      <c r="AQ61" s="9">
        <v>-1</v>
      </c>
    </row>
    <row r="62" spans="1:43" x14ac:dyDescent="0.3">
      <c r="A62" s="9" t="s">
        <v>152</v>
      </c>
      <c r="B62" s="11" t="s">
        <v>151</v>
      </c>
      <c r="C62" s="16">
        <v>1627</v>
      </c>
      <c r="D62" s="16">
        <v>888</v>
      </c>
      <c r="E62" s="16">
        <v>148</v>
      </c>
      <c r="F62" s="16">
        <v>207</v>
      </c>
      <c r="G62" s="16">
        <v>89</v>
      </c>
      <c r="H62" s="16">
        <v>0</v>
      </c>
      <c r="I62" s="16">
        <v>0</v>
      </c>
      <c r="J62" s="16">
        <v>876</v>
      </c>
      <c r="K62" s="16">
        <v>2959</v>
      </c>
      <c r="L62" s="16">
        <v>8</v>
      </c>
      <c r="M62" s="16">
        <v>1036</v>
      </c>
      <c r="N62" s="16">
        <v>0</v>
      </c>
      <c r="O62" s="16">
        <v>148</v>
      </c>
      <c r="P62" s="16">
        <v>0</v>
      </c>
      <c r="Q62" s="16">
        <v>100</v>
      </c>
      <c r="R62" s="16">
        <v>7</v>
      </c>
      <c r="S62" s="16">
        <v>28</v>
      </c>
      <c r="T62" s="16">
        <v>1</v>
      </c>
      <c r="U62" s="16">
        <v>5</v>
      </c>
      <c r="V62" s="16">
        <v>147</v>
      </c>
      <c r="W62" s="16">
        <v>2071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876</v>
      </c>
      <c r="AE62" s="16">
        <v>869</v>
      </c>
      <c r="AF62" s="16">
        <v>2959</v>
      </c>
      <c r="AG62" s="16">
        <v>249</v>
      </c>
      <c r="AH62" s="16">
        <v>23</v>
      </c>
      <c r="AI62" s="16">
        <v>0</v>
      </c>
      <c r="AJ62" s="16">
        <v>0</v>
      </c>
      <c r="AK62" s="16">
        <v>86</v>
      </c>
      <c r="AL62" s="16">
        <v>0</v>
      </c>
      <c r="AM62" s="16">
        <v>0</v>
      </c>
      <c r="AN62" s="16">
        <v>0</v>
      </c>
      <c r="AO62" s="16">
        <v>358</v>
      </c>
      <c r="AP62" s="16">
        <v>2601</v>
      </c>
      <c r="AQ62" s="9">
        <v>-1</v>
      </c>
    </row>
    <row r="63" spans="1:43" x14ac:dyDescent="0.3">
      <c r="A63" s="9" t="s">
        <v>154</v>
      </c>
      <c r="B63" s="11" t="s">
        <v>153</v>
      </c>
      <c r="C63" s="16">
        <v>814</v>
      </c>
      <c r="D63" s="16">
        <v>444</v>
      </c>
      <c r="E63" s="16">
        <v>74</v>
      </c>
      <c r="F63" s="16">
        <v>104</v>
      </c>
      <c r="G63" s="16">
        <v>44</v>
      </c>
      <c r="H63" s="16">
        <v>0</v>
      </c>
      <c r="I63" s="16">
        <v>0</v>
      </c>
      <c r="J63" s="16">
        <v>0</v>
      </c>
      <c r="K63" s="16">
        <v>1480</v>
      </c>
      <c r="L63" s="16">
        <v>0</v>
      </c>
      <c r="M63" s="16">
        <v>1036</v>
      </c>
      <c r="N63" s="16">
        <v>0</v>
      </c>
      <c r="O63" s="16">
        <v>74</v>
      </c>
      <c r="P63" s="16">
        <v>0</v>
      </c>
      <c r="Q63" s="16">
        <v>100</v>
      </c>
      <c r="R63" s="16">
        <v>0</v>
      </c>
      <c r="S63" s="16">
        <v>0</v>
      </c>
      <c r="T63" s="16">
        <v>1</v>
      </c>
      <c r="U63" s="16">
        <v>2</v>
      </c>
      <c r="V63" s="16">
        <v>73</v>
      </c>
      <c r="W63" s="16">
        <v>1036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1480</v>
      </c>
      <c r="AG63" s="16">
        <v>124</v>
      </c>
      <c r="AH63" s="16">
        <v>12</v>
      </c>
      <c r="AI63" s="16">
        <v>0</v>
      </c>
      <c r="AJ63" s="16">
        <v>0</v>
      </c>
      <c r="AK63" s="16">
        <v>43</v>
      </c>
      <c r="AL63" s="16">
        <v>0</v>
      </c>
      <c r="AM63" s="16">
        <v>0</v>
      </c>
      <c r="AN63" s="16">
        <v>0</v>
      </c>
      <c r="AO63" s="16">
        <v>179</v>
      </c>
      <c r="AP63" s="16">
        <v>1301</v>
      </c>
      <c r="AQ63" s="9">
        <v>-1</v>
      </c>
    </row>
    <row r="64" spans="1:43" ht="15" thickBot="1" x14ac:dyDescent="0.35">
      <c r="A64" s="7"/>
      <c r="B64" s="8" t="s">
        <v>155</v>
      </c>
      <c r="C64" s="17">
        <f t="shared" ref="C64:AQ64" si="1">SUM(C44:C63)</f>
        <v>95531</v>
      </c>
      <c r="D64" s="17">
        <f t="shared" si="1"/>
        <v>52107</v>
      </c>
      <c r="E64" s="17">
        <f t="shared" si="1"/>
        <v>8684</v>
      </c>
      <c r="F64" s="17">
        <f t="shared" si="1"/>
        <v>12160</v>
      </c>
      <c r="G64" s="17">
        <f t="shared" si="1"/>
        <v>5211</v>
      </c>
      <c r="H64" s="17">
        <f t="shared" si="1"/>
        <v>0</v>
      </c>
      <c r="I64" s="17">
        <f t="shared" si="1"/>
        <v>3798.07</v>
      </c>
      <c r="J64" s="17">
        <f t="shared" si="1"/>
        <v>18604</v>
      </c>
      <c r="K64" s="17">
        <f t="shared" si="1"/>
        <v>58664</v>
      </c>
      <c r="L64" s="17">
        <f t="shared" si="1"/>
        <v>151</v>
      </c>
      <c r="M64" s="17">
        <f t="shared" si="1"/>
        <v>24419.9</v>
      </c>
      <c r="N64" s="17">
        <f t="shared" si="1"/>
        <v>0</v>
      </c>
      <c r="O64" s="17">
        <f t="shared" si="1"/>
        <v>8009</v>
      </c>
      <c r="P64" s="17">
        <f t="shared" si="1"/>
        <v>500</v>
      </c>
      <c r="Q64" s="17">
        <f t="shared" si="1"/>
        <v>1561</v>
      </c>
      <c r="R64" s="17">
        <f t="shared" si="1"/>
        <v>50</v>
      </c>
      <c r="S64" s="17">
        <f t="shared" si="1"/>
        <v>214</v>
      </c>
      <c r="T64" s="17">
        <f t="shared" si="1"/>
        <v>19</v>
      </c>
      <c r="U64" s="17">
        <f t="shared" si="1"/>
        <v>79</v>
      </c>
      <c r="V64" s="17">
        <f t="shared" si="1"/>
        <v>7990</v>
      </c>
      <c r="W64" s="17">
        <f t="shared" si="1"/>
        <v>106718.57</v>
      </c>
      <c r="X64" s="17">
        <f t="shared" si="1"/>
        <v>0</v>
      </c>
      <c r="Y64" s="17">
        <f t="shared" si="1"/>
        <v>0</v>
      </c>
      <c r="Z64" s="17">
        <f t="shared" si="1"/>
        <v>0</v>
      </c>
      <c r="AA64" s="17">
        <f t="shared" si="1"/>
        <v>0</v>
      </c>
      <c r="AB64" s="17">
        <f t="shared" si="1"/>
        <v>0</v>
      </c>
      <c r="AC64" s="17">
        <f t="shared" si="1"/>
        <v>22423</v>
      </c>
      <c r="AD64" s="17">
        <f t="shared" si="1"/>
        <v>22903</v>
      </c>
      <c r="AE64" s="17">
        <f t="shared" si="1"/>
        <v>22853</v>
      </c>
      <c r="AF64" s="17">
        <f t="shared" si="1"/>
        <v>196116</v>
      </c>
      <c r="AG64" s="17">
        <f t="shared" si="1"/>
        <v>12804</v>
      </c>
      <c r="AH64" s="17">
        <f t="shared" si="1"/>
        <v>444</v>
      </c>
      <c r="AI64" s="17">
        <f t="shared" si="1"/>
        <v>1979</v>
      </c>
      <c r="AJ64" s="17">
        <f t="shared" si="1"/>
        <v>0</v>
      </c>
      <c r="AK64" s="17">
        <f t="shared" si="1"/>
        <v>3954</v>
      </c>
      <c r="AL64" s="17">
        <f t="shared" si="1"/>
        <v>0</v>
      </c>
      <c r="AM64" s="17">
        <f t="shared" si="1"/>
        <v>17622</v>
      </c>
      <c r="AN64" s="17">
        <f t="shared" si="1"/>
        <v>200</v>
      </c>
      <c r="AO64" s="17">
        <f t="shared" si="1"/>
        <v>37003</v>
      </c>
      <c r="AP64" s="17">
        <f t="shared" si="1"/>
        <v>159113</v>
      </c>
      <c r="AQ64" s="18">
        <f t="shared" si="1"/>
        <v>-20</v>
      </c>
    </row>
    <row r="65" spans="1:43" ht="15" thickTop="1" x14ac:dyDescent="0.3">
      <c r="A65" s="7" t="s">
        <v>156</v>
      </c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4"/>
    </row>
    <row r="66" spans="1:43" x14ac:dyDescent="0.3">
      <c r="A66" s="7" t="s">
        <v>45</v>
      </c>
      <c r="B66" s="8" t="s">
        <v>46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4"/>
    </row>
    <row r="67" spans="1:43" x14ac:dyDescent="0.3">
      <c r="A67" s="9" t="s">
        <v>158</v>
      </c>
      <c r="B67" s="11" t="s">
        <v>157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76</v>
      </c>
      <c r="P67" s="16">
        <v>0</v>
      </c>
      <c r="Q67" s="16">
        <v>2.5</v>
      </c>
      <c r="R67" s="16">
        <v>0</v>
      </c>
      <c r="S67" s="16">
        <v>0</v>
      </c>
      <c r="T67" s="16">
        <v>0</v>
      </c>
      <c r="U67" s="16">
        <v>0</v>
      </c>
      <c r="V67" s="16">
        <v>76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-1602</v>
      </c>
      <c r="AN67" s="16">
        <v>0</v>
      </c>
      <c r="AO67" s="16">
        <v>-1602</v>
      </c>
      <c r="AP67" s="16">
        <v>1602</v>
      </c>
      <c r="AQ67" s="5" t="s">
        <v>159</v>
      </c>
    </row>
    <row r="68" spans="1:43" x14ac:dyDescent="0.3">
      <c r="A68" s="9" t="s">
        <v>161</v>
      </c>
      <c r="B68" s="11" t="s">
        <v>160</v>
      </c>
      <c r="C68" s="16">
        <v>330</v>
      </c>
      <c r="D68" s="16">
        <v>180</v>
      </c>
      <c r="E68" s="16">
        <v>30</v>
      </c>
      <c r="F68" s="16">
        <v>42</v>
      </c>
      <c r="G68" s="16">
        <v>18</v>
      </c>
      <c r="H68" s="16">
        <v>0</v>
      </c>
      <c r="I68" s="16">
        <v>0</v>
      </c>
      <c r="J68" s="16">
        <v>4795</v>
      </c>
      <c r="K68" s="16">
        <v>630</v>
      </c>
      <c r="L68" s="16">
        <v>54</v>
      </c>
      <c r="M68" s="16">
        <v>0</v>
      </c>
      <c r="N68" s="16">
        <v>0</v>
      </c>
      <c r="O68" s="16">
        <v>-246</v>
      </c>
      <c r="P68" s="16">
        <v>1000</v>
      </c>
      <c r="Q68" s="16">
        <v>-32.5</v>
      </c>
      <c r="R68" s="16">
        <v>44</v>
      </c>
      <c r="S68" s="16">
        <v>189</v>
      </c>
      <c r="T68" s="16">
        <v>-2</v>
      </c>
      <c r="U68" s="16">
        <v>-8</v>
      </c>
      <c r="V68" s="16">
        <v>-244</v>
      </c>
      <c r="W68" s="16">
        <v>420</v>
      </c>
      <c r="X68" s="16">
        <v>1000</v>
      </c>
      <c r="Y68" s="16">
        <v>7.5</v>
      </c>
      <c r="Z68" s="16">
        <v>32.5</v>
      </c>
      <c r="AA68" s="16">
        <v>967.5</v>
      </c>
      <c r="AB68" s="16">
        <v>0</v>
      </c>
      <c r="AC68" s="16">
        <v>30</v>
      </c>
      <c r="AD68" s="16">
        <v>5795</v>
      </c>
      <c r="AE68" s="16">
        <v>5751</v>
      </c>
      <c r="AF68" s="16">
        <v>630</v>
      </c>
      <c r="AG68" s="16">
        <v>50</v>
      </c>
      <c r="AH68" s="16">
        <v>5</v>
      </c>
      <c r="AI68" s="16">
        <v>0</v>
      </c>
      <c r="AJ68" s="16">
        <v>0</v>
      </c>
      <c r="AK68" s="16">
        <v>21</v>
      </c>
      <c r="AL68" s="16">
        <v>0</v>
      </c>
      <c r="AM68" s="16">
        <v>0</v>
      </c>
      <c r="AN68" s="16">
        <v>0</v>
      </c>
      <c r="AO68" s="16">
        <v>76</v>
      </c>
      <c r="AP68" s="16">
        <v>554</v>
      </c>
      <c r="AQ68" s="5" t="s">
        <v>159</v>
      </c>
    </row>
    <row r="69" spans="1:43" x14ac:dyDescent="0.3">
      <c r="A69" s="9" t="s">
        <v>163</v>
      </c>
      <c r="B69" s="11" t="s">
        <v>162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18</v>
      </c>
      <c r="P69" s="16">
        <v>0</v>
      </c>
      <c r="Q69" s="16">
        <v>1.5</v>
      </c>
      <c r="R69" s="16">
        <v>0</v>
      </c>
      <c r="S69" s="16">
        <v>0</v>
      </c>
      <c r="T69" s="16">
        <v>0</v>
      </c>
      <c r="U69" s="16">
        <v>0</v>
      </c>
      <c r="V69" s="16">
        <v>18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-801</v>
      </c>
      <c r="AN69" s="16">
        <v>0</v>
      </c>
      <c r="AO69" s="16">
        <v>-801</v>
      </c>
      <c r="AP69" s="16">
        <v>801</v>
      </c>
      <c r="AQ69" s="5" t="s">
        <v>159</v>
      </c>
    </row>
    <row r="70" spans="1:43" x14ac:dyDescent="0.3">
      <c r="A70" s="9" t="s">
        <v>165</v>
      </c>
      <c r="B70" s="11" t="s">
        <v>164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-6398</v>
      </c>
      <c r="K70" s="16">
        <v>0</v>
      </c>
      <c r="L70" s="16">
        <v>-43</v>
      </c>
      <c r="M70" s="16">
        <v>0</v>
      </c>
      <c r="N70" s="16">
        <v>-500</v>
      </c>
      <c r="O70" s="16">
        <v>0</v>
      </c>
      <c r="P70" s="16">
        <v>-500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-7398</v>
      </c>
      <c r="AE70" s="16">
        <v>-7398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-2403</v>
      </c>
      <c r="AN70" s="16">
        <v>0</v>
      </c>
      <c r="AO70" s="16">
        <v>-2403</v>
      </c>
      <c r="AP70" s="16">
        <v>2403</v>
      </c>
      <c r="AQ70" s="5" t="s">
        <v>159</v>
      </c>
    </row>
    <row r="71" spans="1:43" x14ac:dyDescent="0.3">
      <c r="A71" s="9" t="s">
        <v>167</v>
      </c>
      <c r="B71" s="11" t="s">
        <v>166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-8</v>
      </c>
      <c r="P71" s="16">
        <v>0</v>
      </c>
      <c r="Q71" s="16">
        <v>-0.25</v>
      </c>
      <c r="R71" s="16">
        <v>0</v>
      </c>
      <c r="S71" s="16">
        <v>0</v>
      </c>
      <c r="T71" s="16">
        <v>0</v>
      </c>
      <c r="U71" s="16">
        <v>0</v>
      </c>
      <c r="V71" s="16">
        <v>-8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-801</v>
      </c>
      <c r="AN71" s="16">
        <v>0</v>
      </c>
      <c r="AO71" s="16">
        <v>-801</v>
      </c>
      <c r="AP71" s="16">
        <v>801</v>
      </c>
      <c r="AQ71" s="5" t="s">
        <v>159</v>
      </c>
    </row>
    <row r="72" spans="1:43" x14ac:dyDescent="0.3">
      <c r="A72" s="9" t="s">
        <v>169</v>
      </c>
      <c r="B72" s="11" t="s">
        <v>168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-2403</v>
      </c>
      <c r="AN72" s="16">
        <v>0</v>
      </c>
      <c r="AO72" s="16">
        <v>-2403</v>
      </c>
      <c r="AP72" s="16">
        <v>2403</v>
      </c>
      <c r="AQ72" s="5" t="s">
        <v>159</v>
      </c>
    </row>
    <row r="73" spans="1:43" x14ac:dyDescent="0.3">
      <c r="A73" s="9" t="s">
        <v>171</v>
      </c>
      <c r="B73" s="11" t="s">
        <v>170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2009</v>
      </c>
      <c r="K73" s="16">
        <v>0</v>
      </c>
      <c r="L73" s="16">
        <v>17</v>
      </c>
      <c r="M73" s="16">
        <v>0</v>
      </c>
      <c r="N73" s="16">
        <v>0</v>
      </c>
      <c r="O73" s="16">
        <v>67</v>
      </c>
      <c r="P73" s="16">
        <v>0</v>
      </c>
      <c r="Q73" s="16">
        <v>5</v>
      </c>
      <c r="R73" s="16">
        <v>0</v>
      </c>
      <c r="S73" s="16">
        <v>0</v>
      </c>
      <c r="T73" s="16">
        <v>0</v>
      </c>
      <c r="U73" s="16">
        <v>0</v>
      </c>
      <c r="V73" s="16">
        <v>67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2009</v>
      </c>
      <c r="AE73" s="16">
        <v>2009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-801</v>
      </c>
      <c r="AN73" s="16">
        <v>0</v>
      </c>
      <c r="AO73" s="16">
        <v>-801</v>
      </c>
      <c r="AP73" s="16">
        <v>801</v>
      </c>
      <c r="AQ73" s="5" t="s">
        <v>159</v>
      </c>
    </row>
    <row r="74" spans="1:43" x14ac:dyDescent="0.3">
      <c r="A74" s="9" t="s">
        <v>173</v>
      </c>
      <c r="B74" s="11" t="s">
        <v>172</v>
      </c>
      <c r="C74" s="16">
        <v>-1854</v>
      </c>
      <c r="D74" s="16">
        <v>-1011</v>
      </c>
      <c r="E74" s="16">
        <v>-169</v>
      </c>
      <c r="F74" s="16">
        <v>-236</v>
      </c>
      <c r="G74" s="16">
        <v>-101</v>
      </c>
      <c r="H74" s="16">
        <v>-1000</v>
      </c>
      <c r="I74" s="16">
        <v>-1009.31</v>
      </c>
      <c r="J74" s="16">
        <v>-2578</v>
      </c>
      <c r="K74" s="16">
        <v>-3371</v>
      </c>
      <c r="L74" s="16">
        <v>-28</v>
      </c>
      <c r="M74" s="16">
        <v>0</v>
      </c>
      <c r="N74" s="16">
        <v>0</v>
      </c>
      <c r="O74" s="16">
        <v>-90</v>
      </c>
      <c r="P74" s="16">
        <v>0</v>
      </c>
      <c r="Q74" s="16">
        <v>7.5</v>
      </c>
      <c r="R74" s="16">
        <v>-34</v>
      </c>
      <c r="S74" s="16">
        <v>-149</v>
      </c>
      <c r="T74" s="16">
        <v>-1</v>
      </c>
      <c r="U74" s="16">
        <v>-3</v>
      </c>
      <c r="V74" s="16">
        <v>-89</v>
      </c>
      <c r="W74" s="16">
        <v>-2360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-4587</v>
      </c>
      <c r="AE74" s="16">
        <v>-4553</v>
      </c>
      <c r="AF74" s="16">
        <v>-3371</v>
      </c>
      <c r="AG74" s="16">
        <v>-284</v>
      </c>
      <c r="AH74" s="16">
        <v>-25</v>
      </c>
      <c r="AI74" s="16">
        <v>0</v>
      </c>
      <c r="AJ74" s="16">
        <v>0</v>
      </c>
      <c r="AK74" s="16">
        <v>-116</v>
      </c>
      <c r="AL74" s="16">
        <v>0</v>
      </c>
      <c r="AM74" s="16">
        <v>0</v>
      </c>
      <c r="AN74" s="16">
        <v>0</v>
      </c>
      <c r="AO74" s="16">
        <v>-425</v>
      </c>
      <c r="AP74" s="16">
        <v>-2946</v>
      </c>
      <c r="AQ74" s="5" t="s">
        <v>159</v>
      </c>
    </row>
    <row r="75" spans="1:43" x14ac:dyDescent="0.3">
      <c r="A75" s="9" t="s">
        <v>175</v>
      </c>
      <c r="B75" s="11" t="s">
        <v>174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230.46</v>
      </c>
      <c r="J75" s="16">
        <v>1228</v>
      </c>
      <c r="K75" s="16">
        <v>0</v>
      </c>
      <c r="L75" s="16">
        <v>12</v>
      </c>
      <c r="M75" s="16">
        <v>0</v>
      </c>
      <c r="N75" s="16">
        <v>0</v>
      </c>
      <c r="O75" s="16">
        <v>33</v>
      </c>
      <c r="P75" s="16">
        <v>500</v>
      </c>
      <c r="Q75" s="16">
        <v>2.5</v>
      </c>
      <c r="R75" s="16">
        <v>0</v>
      </c>
      <c r="S75" s="16">
        <v>0</v>
      </c>
      <c r="T75" s="16">
        <v>0</v>
      </c>
      <c r="U75" s="16">
        <v>0</v>
      </c>
      <c r="V75" s="16">
        <v>33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1958</v>
      </c>
      <c r="AE75" s="16">
        <v>1958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-2403</v>
      </c>
      <c r="AN75" s="16">
        <v>0</v>
      </c>
      <c r="AO75" s="16">
        <v>-2403</v>
      </c>
      <c r="AP75" s="16">
        <v>2403</v>
      </c>
      <c r="AQ75" s="5" t="s">
        <v>159</v>
      </c>
    </row>
    <row r="76" spans="1:43" x14ac:dyDescent="0.3">
      <c r="A76" s="9" t="s">
        <v>177</v>
      </c>
      <c r="B76" s="11" t="s">
        <v>176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-1000</v>
      </c>
      <c r="I76" s="16">
        <v>19.38</v>
      </c>
      <c r="J76" s="16">
        <v>1004</v>
      </c>
      <c r="K76" s="16">
        <v>0</v>
      </c>
      <c r="L76" s="16">
        <v>9</v>
      </c>
      <c r="M76" s="16">
        <v>0</v>
      </c>
      <c r="N76" s="16">
        <v>0</v>
      </c>
      <c r="O76" s="16">
        <v>130</v>
      </c>
      <c r="P76" s="16">
        <v>0</v>
      </c>
      <c r="Q76" s="16">
        <v>10</v>
      </c>
      <c r="R76" s="16">
        <v>0</v>
      </c>
      <c r="S76" s="16">
        <v>0</v>
      </c>
      <c r="T76" s="16">
        <v>0</v>
      </c>
      <c r="U76" s="16">
        <v>0</v>
      </c>
      <c r="V76" s="16">
        <v>130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23</v>
      </c>
      <c r="AE76" s="16">
        <v>23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-2403</v>
      </c>
      <c r="AN76" s="16">
        <v>0</v>
      </c>
      <c r="AO76" s="16">
        <v>-2403</v>
      </c>
      <c r="AP76" s="16">
        <v>2403</v>
      </c>
      <c r="AQ76" s="5" t="s">
        <v>159</v>
      </c>
    </row>
    <row r="77" spans="1:43" x14ac:dyDescent="0.3">
      <c r="A77" s="9" t="s">
        <v>179</v>
      </c>
      <c r="B77" s="11" t="s">
        <v>178</v>
      </c>
      <c r="C77" s="16">
        <v>211</v>
      </c>
      <c r="D77" s="16">
        <v>115</v>
      </c>
      <c r="E77" s="16">
        <v>20</v>
      </c>
      <c r="F77" s="16">
        <v>27</v>
      </c>
      <c r="G77" s="16">
        <v>12</v>
      </c>
      <c r="H77" s="16">
        <v>0</v>
      </c>
      <c r="I77" s="16">
        <v>-500.15</v>
      </c>
      <c r="J77" s="16">
        <v>454</v>
      </c>
      <c r="K77" s="16">
        <v>0</v>
      </c>
      <c r="L77" s="16">
        <v>4</v>
      </c>
      <c r="M77" s="16">
        <v>0</v>
      </c>
      <c r="N77" s="16">
        <v>500</v>
      </c>
      <c r="O77" s="16">
        <v>74</v>
      </c>
      <c r="P77" s="16">
        <v>0</v>
      </c>
      <c r="Q77" s="16">
        <v>5</v>
      </c>
      <c r="R77" s="16">
        <v>0</v>
      </c>
      <c r="S77" s="16">
        <v>0</v>
      </c>
      <c r="T77" s="16">
        <v>0</v>
      </c>
      <c r="U77" s="16">
        <v>0</v>
      </c>
      <c r="V77" s="16">
        <v>74</v>
      </c>
      <c r="W77" s="16">
        <v>253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21</v>
      </c>
      <c r="AD77" s="16">
        <v>454</v>
      </c>
      <c r="AE77" s="16">
        <v>454</v>
      </c>
      <c r="AF77" s="16">
        <v>406</v>
      </c>
      <c r="AG77" s="16">
        <v>30</v>
      </c>
      <c r="AH77" s="16">
        <v>0</v>
      </c>
      <c r="AI77" s="16">
        <v>0</v>
      </c>
      <c r="AJ77" s="16">
        <v>0</v>
      </c>
      <c r="AK77" s="16">
        <v>11</v>
      </c>
      <c r="AL77" s="16">
        <v>0</v>
      </c>
      <c r="AM77" s="16">
        <v>-801</v>
      </c>
      <c r="AN77" s="16">
        <v>0</v>
      </c>
      <c r="AO77" s="16">
        <v>-760</v>
      </c>
      <c r="AP77" s="16">
        <v>1166</v>
      </c>
      <c r="AQ77" s="5" t="s">
        <v>159</v>
      </c>
    </row>
    <row r="78" spans="1:43" x14ac:dyDescent="0.3">
      <c r="A78" s="9" t="s">
        <v>181</v>
      </c>
      <c r="B78" s="11" t="s">
        <v>180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1137</v>
      </c>
      <c r="K78" s="16">
        <v>0</v>
      </c>
      <c r="L78" s="16">
        <v>11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1137</v>
      </c>
      <c r="AE78" s="16">
        <v>1137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-801</v>
      </c>
      <c r="AN78" s="16">
        <v>0</v>
      </c>
      <c r="AO78" s="16">
        <v>-801</v>
      </c>
      <c r="AP78" s="16">
        <v>801</v>
      </c>
      <c r="AQ78" s="5" t="s">
        <v>159</v>
      </c>
    </row>
    <row r="79" spans="1:43" x14ac:dyDescent="0.3">
      <c r="A79" s="9" t="s">
        <v>183</v>
      </c>
      <c r="B79" s="11" t="s">
        <v>182</v>
      </c>
      <c r="C79" s="16">
        <v>-1477</v>
      </c>
      <c r="D79" s="16">
        <v>-806</v>
      </c>
      <c r="E79" s="16">
        <v>-134</v>
      </c>
      <c r="F79" s="16">
        <v>-188</v>
      </c>
      <c r="G79" s="16">
        <v>-80</v>
      </c>
      <c r="H79" s="16">
        <v>0</v>
      </c>
      <c r="I79" s="16">
        <v>-807.23</v>
      </c>
      <c r="J79" s="16">
        <v>-2959</v>
      </c>
      <c r="K79" s="16">
        <v>0</v>
      </c>
      <c r="L79" s="16">
        <v>-24</v>
      </c>
      <c r="M79" s="16">
        <v>0</v>
      </c>
      <c r="N79" s="16">
        <v>0</v>
      </c>
      <c r="O79" s="16">
        <v>-161</v>
      </c>
      <c r="P79" s="16">
        <v>0</v>
      </c>
      <c r="Q79" s="16">
        <v>-5</v>
      </c>
      <c r="R79" s="16">
        <v>0</v>
      </c>
      <c r="S79" s="16">
        <v>0</v>
      </c>
      <c r="T79" s="16">
        <v>0</v>
      </c>
      <c r="U79" s="16">
        <v>0</v>
      </c>
      <c r="V79" s="16">
        <v>-161</v>
      </c>
      <c r="W79" s="16">
        <v>-1879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-172</v>
      </c>
      <c r="AD79" s="16">
        <v>-3766</v>
      </c>
      <c r="AE79" s="16">
        <v>-3766</v>
      </c>
      <c r="AF79" s="16">
        <v>-2857</v>
      </c>
      <c r="AG79" s="16">
        <v>-225</v>
      </c>
      <c r="AH79" s="16">
        <v>0</v>
      </c>
      <c r="AI79" s="16">
        <v>0</v>
      </c>
      <c r="AJ79" s="16">
        <v>0</v>
      </c>
      <c r="AK79" s="16">
        <v>-69</v>
      </c>
      <c r="AL79" s="16">
        <v>0</v>
      </c>
      <c r="AM79" s="16">
        <v>-2403</v>
      </c>
      <c r="AN79" s="16">
        <v>0</v>
      </c>
      <c r="AO79" s="16">
        <v>-2697</v>
      </c>
      <c r="AP79" s="16">
        <v>-160</v>
      </c>
      <c r="AQ79" s="5" t="s">
        <v>159</v>
      </c>
    </row>
    <row r="80" spans="1:43" x14ac:dyDescent="0.3">
      <c r="A80" s="9" t="s">
        <v>185</v>
      </c>
      <c r="B80" s="11" t="s">
        <v>184</v>
      </c>
      <c r="C80" s="16">
        <v>-6795</v>
      </c>
      <c r="D80" s="16">
        <v>-3707</v>
      </c>
      <c r="E80" s="16">
        <v>-618</v>
      </c>
      <c r="F80" s="16">
        <v>-865</v>
      </c>
      <c r="G80" s="16">
        <v>-371</v>
      </c>
      <c r="H80" s="16">
        <v>0</v>
      </c>
      <c r="I80" s="16">
        <v>-461.54</v>
      </c>
      <c r="J80" s="16">
        <v>-5053</v>
      </c>
      <c r="K80" s="16">
        <v>0</v>
      </c>
      <c r="L80" s="16">
        <v>-51</v>
      </c>
      <c r="M80" s="16">
        <v>0</v>
      </c>
      <c r="N80" s="16">
        <v>0</v>
      </c>
      <c r="O80" s="16">
        <v>-755</v>
      </c>
      <c r="P80" s="16">
        <v>-500</v>
      </c>
      <c r="Q80" s="16">
        <v>-32.5</v>
      </c>
      <c r="R80" s="16">
        <v>0</v>
      </c>
      <c r="S80" s="16">
        <v>0</v>
      </c>
      <c r="T80" s="16">
        <v>0</v>
      </c>
      <c r="U80" s="16">
        <v>0</v>
      </c>
      <c r="V80" s="16">
        <v>-755</v>
      </c>
      <c r="W80" s="16">
        <v>-8649</v>
      </c>
      <c r="X80" s="16">
        <v>-500</v>
      </c>
      <c r="Y80" s="16">
        <v>-3.75</v>
      </c>
      <c r="Z80" s="16">
        <v>-16.25</v>
      </c>
      <c r="AA80" s="16">
        <v>-483.75</v>
      </c>
      <c r="AB80" s="16">
        <v>0</v>
      </c>
      <c r="AC80" s="16">
        <v>-1854</v>
      </c>
      <c r="AD80" s="16">
        <v>-6015</v>
      </c>
      <c r="AE80" s="16">
        <v>-6015</v>
      </c>
      <c r="AF80" s="16">
        <v>-14210</v>
      </c>
      <c r="AG80" s="16">
        <v>-1037</v>
      </c>
      <c r="AH80" s="16">
        <v>0</v>
      </c>
      <c r="AI80" s="16">
        <v>-136</v>
      </c>
      <c r="AJ80" s="16">
        <v>0</v>
      </c>
      <c r="AK80" s="16">
        <v>-395</v>
      </c>
      <c r="AL80" s="16">
        <v>0</v>
      </c>
      <c r="AM80" s="16">
        <v>-801</v>
      </c>
      <c r="AN80" s="16">
        <v>0</v>
      </c>
      <c r="AO80" s="16">
        <v>-2369</v>
      </c>
      <c r="AP80" s="16">
        <v>-11841</v>
      </c>
      <c r="AQ80" s="5" t="s">
        <v>159</v>
      </c>
    </row>
    <row r="81" spans="1:43" x14ac:dyDescent="0.3">
      <c r="A81" s="9" t="s">
        <v>187</v>
      </c>
      <c r="B81" s="11" t="s">
        <v>186</v>
      </c>
      <c r="C81" s="16">
        <v>-3194</v>
      </c>
      <c r="D81" s="16">
        <v>-1742</v>
      </c>
      <c r="E81" s="16">
        <v>-290</v>
      </c>
      <c r="F81" s="16">
        <v>-406</v>
      </c>
      <c r="G81" s="16">
        <v>-174</v>
      </c>
      <c r="H81" s="16">
        <v>-1000</v>
      </c>
      <c r="I81" s="16">
        <v>-730.69</v>
      </c>
      <c r="J81" s="16">
        <v>-3173</v>
      </c>
      <c r="K81" s="16">
        <v>-7606</v>
      </c>
      <c r="L81" s="16">
        <v>-40</v>
      </c>
      <c r="M81" s="16">
        <v>0</v>
      </c>
      <c r="N81" s="16">
        <v>0</v>
      </c>
      <c r="O81" s="16">
        <v>-385</v>
      </c>
      <c r="P81" s="16">
        <v>-1000</v>
      </c>
      <c r="Q81" s="16">
        <v>-16</v>
      </c>
      <c r="R81" s="16">
        <v>-44</v>
      </c>
      <c r="S81" s="16">
        <v>-192</v>
      </c>
      <c r="T81" s="16">
        <v>-3</v>
      </c>
      <c r="U81" s="16">
        <v>-13</v>
      </c>
      <c r="V81" s="16">
        <v>-382</v>
      </c>
      <c r="W81" s="16">
        <v>-4064</v>
      </c>
      <c r="X81" s="16">
        <v>-1000</v>
      </c>
      <c r="Y81" s="16">
        <v>-7.5</v>
      </c>
      <c r="Z81" s="16">
        <v>-32.5</v>
      </c>
      <c r="AA81" s="16">
        <v>-967.5</v>
      </c>
      <c r="AB81" s="16">
        <v>0</v>
      </c>
      <c r="AC81" s="16">
        <v>-1800</v>
      </c>
      <c r="AD81" s="16">
        <v>-5904</v>
      </c>
      <c r="AE81" s="16">
        <v>-5860</v>
      </c>
      <c r="AF81" s="16">
        <v>-7606</v>
      </c>
      <c r="AG81" s="16">
        <v>-488</v>
      </c>
      <c r="AH81" s="16">
        <v>-57</v>
      </c>
      <c r="AI81" s="16">
        <v>-37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-582</v>
      </c>
      <c r="AP81" s="16">
        <v>-7024</v>
      </c>
      <c r="AQ81" s="5" t="s">
        <v>159</v>
      </c>
    </row>
    <row r="82" spans="1:43" x14ac:dyDescent="0.3">
      <c r="A82" s="9" t="s">
        <v>189</v>
      </c>
      <c r="B82" s="11" t="s">
        <v>188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1000</v>
      </c>
      <c r="I82" s="16">
        <v>923.38</v>
      </c>
      <c r="J82" s="16">
        <v>5297</v>
      </c>
      <c r="K82" s="16">
        <v>0</v>
      </c>
      <c r="L82" s="16">
        <v>64</v>
      </c>
      <c r="M82" s="16">
        <v>0</v>
      </c>
      <c r="N82" s="16">
        <v>500</v>
      </c>
      <c r="O82" s="16">
        <v>89</v>
      </c>
      <c r="P82" s="16">
        <v>1000</v>
      </c>
      <c r="Q82" s="16">
        <v>9</v>
      </c>
      <c r="R82" s="16">
        <v>66</v>
      </c>
      <c r="S82" s="16">
        <v>284</v>
      </c>
      <c r="T82" s="16">
        <v>1</v>
      </c>
      <c r="U82" s="16">
        <v>3</v>
      </c>
      <c r="V82" s="16">
        <v>88</v>
      </c>
      <c r="W82" s="16">
        <v>0</v>
      </c>
      <c r="X82" s="16">
        <v>1500</v>
      </c>
      <c r="Y82" s="16">
        <v>11.25</v>
      </c>
      <c r="Z82" s="16">
        <v>48.75</v>
      </c>
      <c r="AA82" s="16">
        <v>1451.25</v>
      </c>
      <c r="AB82" s="16">
        <v>0</v>
      </c>
      <c r="AC82" s="16">
        <v>0</v>
      </c>
      <c r="AD82" s="16">
        <v>8720</v>
      </c>
      <c r="AE82" s="16">
        <v>8654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5" t="s">
        <v>159</v>
      </c>
    </row>
    <row r="83" spans="1:43" x14ac:dyDescent="0.3">
      <c r="A83" s="9" t="s">
        <v>191</v>
      </c>
      <c r="B83" s="11" t="s">
        <v>190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189</v>
      </c>
      <c r="P83" s="16">
        <v>0</v>
      </c>
      <c r="Q83" s="16">
        <v>10</v>
      </c>
      <c r="R83" s="16">
        <v>0</v>
      </c>
      <c r="S83" s="16">
        <v>0</v>
      </c>
      <c r="T83" s="16">
        <v>0</v>
      </c>
      <c r="U83" s="16">
        <v>0</v>
      </c>
      <c r="V83" s="16">
        <v>189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-3204</v>
      </c>
      <c r="AN83" s="16">
        <v>0</v>
      </c>
      <c r="AO83" s="16">
        <v>-3204</v>
      </c>
      <c r="AP83" s="16">
        <v>3204</v>
      </c>
      <c r="AQ83" s="5" t="s">
        <v>159</v>
      </c>
    </row>
    <row r="84" spans="1:43" x14ac:dyDescent="0.3">
      <c r="A84" s="9" t="s">
        <v>193</v>
      </c>
      <c r="B84" s="11" t="s">
        <v>192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-1000</v>
      </c>
      <c r="I84" s="16">
        <v>0</v>
      </c>
      <c r="J84" s="16">
        <v>2056</v>
      </c>
      <c r="K84" s="16">
        <v>0</v>
      </c>
      <c r="L84" s="16">
        <v>20</v>
      </c>
      <c r="M84" s="16">
        <v>0</v>
      </c>
      <c r="N84" s="16">
        <v>0</v>
      </c>
      <c r="O84" s="16">
        <v>59</v>
      </c>
      <c r="P84" s="16">
        <v>500</v>
      </c>
      <c r="Q84" s="16">
        <v>5</v>
      </c>
      <c r="R84" s="16">
        <v>0</v>
      </c>
      <c r="S84" s="16">
        <v>0</v>
      </c>
      <c r="T84" s="16">
        <v>0</v>
      </c>
      <c r="U84" s="16">
        <v>0</v>
      </c>
      <c r="V84" s="16">
        <v>59</v>
      </c>
      <c r="W84" s="16">
        <v>0</v>
      </c>
      <c r="X84" s="16">
        <v>500</v>
      </c>
      <c r="Y84" s="16">
        <v>3.75</v>
      </c>
      <c r="Z84" s="16">
        <v>16.25</v>
      </c>
      <c r="AA84" s="16">
        <v>483.75</v>
      </c>
      <c r="AB84" s="16">
        <v>0</v>
      </c>
      <c r="AC84" s="16">
        <v>0</v>
      </c>
      <c r="AD84" s="16">
        <v>1556</v>
      </c>
      <c r="AE84" s="16">
        <v>1556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-1602</v>
      </c>
      <c r="AN84" s="16">
        <v>0</v>
      </c>
      <c r="AO84" s="16">
        <v>-1602</v>
      </c>
      <c r="AP84" s="16">
        <v>1602</v>
      </c>
      <c r="AQ84" s="5" t="s">
        <v>159</v>
      </c>
    </row>
    <row r="85" spans="1:43" x14ac:dyDescent="0.3">
      <c r="A85" s="9" t="s">
        <v>195</v>
      </c>
      <c r="B85" s="11" t="s">
        <v>194</v>
      </c>
      <c r="C85" s="16">
        <v>2117</v>
      </c>
      <c r="D85" s="16">
        <v>1155</v>
      </c>
      <c r="E85" s="16">
        <v>193</v>
      </c>
      <c r="F85" s="16">
        <v>270</v>
      </c>
      <c r="G85" s="16">
        <v>115</v>
      </c>
      <c r="H85" s="16">
        <v>0</v>
      </c>
      <c r="I85" s="16">
        <v>0</v>
      </c>
      <c r="J85" s="16">
        <v>7272</v>
      </c>
      <c r="K85" s="16">
        <v>0</v>
      </c>
      <c r="L85" s="16">
        <v>65</v>
      </c>
      <c r="M85" s="16">
        <v>0</v>
      </c>
      <c r="N85" s="16">
        <v>500</v>
      </c>
      <c r="O85" s="16">
        <v>-170</v>
      </c>
      <c r="P85" s="16">
        <v>500</v>
      </c>
      <c r="Q85" s="16">
        <v>-32.5</v>
      </c>
      <c r="R85" s="16">
        <v>0</v>
      </c>
      <c r="S85" s="16">
        <v>0</v>
      </c>
      <c r="T85" s="16">
        <v>0</v>
      </c>
      <c r="U85" s="16">
        <v>0</v>
      </c>
      <c r="V85" s="16">
        <v>-170</v>
      </c>
      <c r="W85" s="16">
        <v>2695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578</v>
      </c>
      <c r="AD85" s="16">
        <v>8272</v>
      </c>
      <c r="AE85" s="16">
        <v>8272</v>
      </c>
      <c r="AF85" s="16">
        <v>4428</v>
      </c>
      <c r="AG85" s="16">
        <v>324</v>
      </c>
      <c r="AH85" s="16">
        <v>0</v>
      </c>
      <c r="AI85" s="16">
        <v>0</v>
      </c>
      <c r="AJ85" s="16">
        <v>0</v>
      </c>
      <c r="AK85" s="16">
        <v>110</v>
      </c>
      <c r="AL85" s="16">
        <v>0</v>
      </c>
      <c r="AM85" s="16">
        <v>-1602</v>
      </c>
      <c r="AN85" s="16">
        <v>0</v>
      </c>
      <c r="AO85" s="16">
        <v>-1168</v>
      </c>
      <c r="AP85" s="16">
        <v>5596</v>
      </c>
      <c r="AQ85" s="5" t="s">
        <v>159</v>
      </c>
    </row>
    <row r="86" spans="1:43" x14ac:dyDescent="0.3">
      <c r="A86" s="9" t="s">
        <v>197</v>
      </c>
      <c r="B86" s="11" t="s">
        <v>196</v>
      </c>
      <c r="C86" s="16">
        <v>-2230</v>
      </c>
      <c r="D86" s="16">
        <v>-1216</v>
      </c>
      <c r="E86" s="16">
        <v>-203</v>
      </c>
      <c r="F86" s="16">
        <v>-284</v>
      </c>
      <c r="G86" s="16">
        <v>-122</v>
      </c>
      <c r="H86" s="16">
        <v>-1000</v>
      </c>
      <c r="I86" s="16">
        <v>-384.15</v>
      </c>
      <c r="J86" s="16">
        <v>2658</v>
      </c>
      <c r="K86" s="16">
        <v>-4055</v>
      </c>
      <c r="L86" s="16">
        <v>28</v>
      </c>
      <c r="M86" s="16">
        <v>0</v>
      </c>
      <c r="N86" s="16">
        <v>0</v>
      </c>
      <c r="O86" s="16">
        <v>-285</v>
      </c>
      <c r="P86" s="16">
        <v>0</v>
      </c>
      <c r="Q86" s="16">
        <v>-16</v>
      </c>
      <c r="R86" s="16">
        <v>10</v>
      </c>
      <c r="S86" s="16">
        <v>41</v>
      </c>
      <c r="T86" s="16">
        <v>-2</v>
      </c>
      <c r="U86" s="16">
        <v>-9</v>
      </c>
      <c r="V86" s="16">
        <v>-283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1274</v>
      </c>
      <c r="AE86" s="16">
        <v>1264</v>
      </c>
      <c r="AF86" s="16">
        <v>-4055</v>
      </c>
      <c r="AG86" s="16">
        <v>0</v>
      </c>
      <c r="AH86" s="16">
        <v>-30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-30</v>
      </c>
      <c r="AP86" s="16">
        <v>-4025</v>
      </c>
      <c r="AQ86" s="5" t="s">
        <v>159</v>
      </c>
    </row>
    <row r="87" spans="1:43" x14ac:dyDescent="0.3">
      <c r="A87" s="9" t="s">
        <v>199</v>
      </c>
      <c r="B87" s="11" t="s">
        <v>198</v>
      </c>
      <c r="C87" s="16">
        <v>-3957</v>
      </c>
      <c r="D87" s="16">
        <v>-2158</v>
      </c>
      <c r="E87" s="16">
        <v>-360</v>
      </c>
      <c r="F87" s="16">
        <v>-503</v>
      </c>
      <c r="G87" s="16">
        <v>-216</v>
      </c>
      <c r="H87" s="16">
        <v>0</v>
      </c>
      <c r="I87" s="16">
        <v>0</v>
      </c>
      <c r="J87" s="16">
        <v>0</v>
      </c>
      <c r="K87" s="16">
        <v>-9178</v>
      </c>
      <c r="L87" s="16">
        <v>0</v>
      </c>
      <c r="M87" s="16">
        <v>0</v>
      </c>
      <c r="N87" s="16">
        <v>0</v>
      </c>
      <c r="O87" s="16">
        <v>-469</v>
      </c>
      <c r="P87" s="16">
        <v>0</v>
      </c>
      <c r="Q87" s="16">
        <v>0</v>
      </c>
      <c r="R87" s="16">
        <v>0</v>
      </c>
      <c r="S87" s="16">
        <v>0</v>
      </c>
      <c r="T87" s="16">
        <v>-4</v>
      </c>
      <c r="U87" s="16">
        <v>-16</v>
      </c>
      <c r="V87" s="16">
        <v>-465</v>
      </c>
      <c r="W87" s="16">
        <v>-5036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-1984</v>
      </c>
      <c r="AD87" s="16">
        <v>0</v>
      </c>
      <c r="AE87" s="16">
        <v>0</v>
      </c>
      <c r="AF87" s="16">
        <v>-9178</v>
      </c>
      <c r="AG87" s="16">
        <v>-604</v>
      </c>
      <c r="AH87" s="16">
        <v>-69</v>
      </c>
      <c r="AI87" s="16">
        <v>-37</v>
      </c>
      <c r="AJ87" s="16">
        <v>0</v>
      </c>
      <c r="AK87" s="16">
        <v>-271</v>
      </c>
      <c r="AL87" s="16">
        <v>0</v>
      </c>
      <c r="AM87" s="16">
        <v>0</v>
      </c>
      <c r="AN87" s="16">
        <v>0</v>
      </c>
      <c r="AO87" s="16">
        <v>-981</v>
      </c>
      <c r="AP87" s="16">
        <v>-8197</v>
      </c>
      <c r="AQ87" s="5" t="s">
        <v>159</v>
      </c>
    </row>
    <row r="88" spans="1:43" x14ac:dyDescent="0.3">
      <c r="A88" s="9" t="s">
        <v>201</v>
      </c>
      <c r="B88" s="11" t="s">
        <v>200</v>
      </c>
      <c r="C88" s="16">
        <v>1812</v>
      </c>
      <c r="D88" s="16">
        <v>988</v>
      </c>
      <c r="E88" s="16">
        <v>165</v>
      </c>
      <c r="F88" s="16">
        <v>231</v>
      </c>
      <c r="G88" s="16">
        <v>99</v>
      </c>
      <c r="H88" s="16">
        <v>1000</v>
      </c>
      <c r="I88" s="16">
        <v>0</v>
      </c>
      <c r="J88" s="16">
        <v>-391</v>
      </c>
      <c r="K88" s="16">
        <v>0</v>
      </c>
      <c r="L88" s="16">
        <v>-4</v>
      </c>
      <c r="M88" s="16">
        <v>0</v>
      </c>
      <c r="N88" s="16">
        <v>0</v>
      </c>
      <c r="O88" s="16">
        <v>284</v>
      </c>
      <c r="P88" s="16">
        <v>0</v>
      </c>
      <c r="Q88" s="16">
        <v>10</v>
      </c>
      <c r="R88" s="16">
        <v>0</v>
      </c>
      <c r="S88" s="16">
        <v>0</v>
      </c>
      <c r="T88" s="16">
        <v>0</v>
      </c>
      <c r="U88" s="16">
        <v>0</v>
      </c>
      <c r="V88" s="16">
        <v>284</v>
      </c>
      <c r="W88" s="16">
        <v>2307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527</v>
      </c>
      <c r="AD88" s="16">
        <v>609</v>
      </c>
      <c r="AE88" s="16">
        <v>609</v>
      </c>
      <c r="AF88" s="16">
        <v>3822</v>
      </c>
      <c r="AG88" s="16">
        <v>277</v>
      </c>
      <c r="AH88" s="16">
        <v>0</v>
      </c>
      <c r="AI88" s="16">
        <v>0</v>
      </c>
      <c r="AJ88" s="16">
        <v>0</v>
      </c>
      <c r="AK88" s="16">
        <v>107</v>
      </c>
      <c r="AL88" s="16">
        <v>0</v>
      </c>
      <c r="AM88" s="16">
        <v>0</v>
      </c>
      <c r="AN88" s="16">
        <v>0</v>
      </c>
      <c r="AO88" s="16">
        <v>384</v>
      </c>
      <c r="AP88" s="16">
        <v>3438</v>
      </c>
      <c r="AQ88" s="5" t="s">
        <v>159</v>
      </c>
    </row>
    <row r="89" spans="1:43" x14ac:dyDescent="0.3">
      <c r="A89" s="9" t="s">
        <v>203</v>
      </c>
      <c r="B89" s="11" t="s">
        <v>202</v>
      </c>
      <c r="C89" s="16">
        <v>2612</v>
      </c>
      <c r="D89" s="16">
        <v>1425</v>
      </c>
      <c r="E89" s="16">
        <v>237</v>
      </c>
      <c r="F89" s="16">
        <v>332</v>
      </c>
      <c r="G89" s="16">
        <v>142</v>
      </c>
      <c r="H89" s="16">
        <v>1000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325</v>
      </c>
      <c r="P89" s="16">
        <v>0</v>
      </c>
      <c r="Q89" s="16">
        <v>9</v>
      </c>
      <c r="R89" s="16">
        <v>0</v>
      </c>
      <c r="S89" s="16">
        <v>0</v>
      </c>
      <c r="T89" s="16">
        <v>0</v>
      </c>
      <c r="U89" s="16">
        <v>0</v>
      </c>
      <c r="V89" s="16">
        <v>325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1020</v>
      </c>
      <c r="AD89" s="16">
        <v>1000</v>
      </c>
      <c r="AE89" s="16">
        <v>1000</v>
      </c>
      <c r="AF89" s="16">
        <v>5768</v>
      </c>
      <c r="AG89" s="16">
        <v>0</v>
      </c>
      <c r="AH89" s="16">
        <v>0</v>
      </c>
      <c r="AI89" s="16">
        <v>0</v>
      </c>
      <c r="AJ89" s="16">
        <v>0</v>
      </c>
      <c r="AK89" s="16">
        <v>150</v>
      </c>
      <c r="AL89" s="16">
        <v>0</v>
      </c>
      <c r="AM89" s="16">
        <v>-801</v>
      </c>
      <c r="AN89" s="16">
        <v>0</v>
      </c>
      <c r="AO89" s="16">
        <v>-651</v>
      </c>
      <c r="AP89" s="16">
        <v>6419</v>
      </c>
      <c r="AQ89" s="5" t="s">
        <v>159</v>
      </c>
    </row>
    <row r="90" spans="1:43" x14ac:dyDescent="0.3">
      <c r="A90" s="9" t="s">
        <v>205</v>
      </c>
      <c r="B90" s="11" t="s">
        <v>204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-67.69</v>
      </c>
      <c r="J90" s="16">
        <v>-4878</v>
      </c>
      <c r="K90" s="16">
        <v>0</v>
      </c>
      <c r="L90" s="16">
        <v>-43</v>
      </c>
      <c r="M90" s="16">
        <v>0</v>
      </c>
      <c r="N90" s="16">
        <v>-500</v>
      </c>
      <c r="O90" s="16">
        <v>108</v>
      </c>
      <c r="P90" s="16">
        <v>-500</v>
      </c>
      <c r="Q90" s="16">
        <v>10</v>
      </c>
      <c r="R90" s="16">
        <v>0</v>
      </c>
      <c r="S90" s="16">
        <v>0</v>
      </c>
      <c r="T90" s="16">
        <v>0</v>
      </c>
      <c r="U90" s="16">
        <v>0</v>
      </c>
      <c r="V90" s="16">
        <v>108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-5946</v>
      </c>
      <c r="AE90" s="16">
        <v>-5946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-2403</v>
      </c>
      <c r="AN90" s="16">
        <v>0</v>
      </c>
      <c r="AO90" s="16">
        <v>-2403</v>
      </c>
      <c r="AP90" s="16">
        <v>2403</v>
      </c>
      <c r="AQ90" s="5" t="s">
        <v>159</v>
      </c>
    </row>
    <row r="91" spans="1:43" x14ac:dyDescent="0.3">
      <c r="A91" s="9" t="s">
        <v>207</v>
      </c>
      <c r="B91" s="11" t="s">
        <v>206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-13</v>
      </c>
      <c r="P91" s="16">
        <v>0</v>
      </c>
      <c r="Q91" s="16">
        <v>-0.5</v>
      </c>
      <c r="R91" s="16">
        <v>0</v>
      </c>
      <c r="S91" s="16">
        <v>0</v>
      </c>
      <c r="T91" s="16">
        <v>0</v>
      </c>
      <c r="U91" s="16">
        <v>0</v>
      </c>
      <c r="V91" s="16">
        <v>-13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-3204</v>
      </c>
      <c r="AN91" s="16">
        <v>0</v>
      </c>
      <c r="AO91" s="16">
        <v>-3204</v>
      </c>
      <c r="AP91" s="16">
        <v>3204</v>
      </c>
      <c r="AQ91" s="5" t="s">
        <v>159</v>
      </c>
    </row>
    <row r="92" spans="1:43" x14ac:dyDescent="0.3">
      <c r="A92" s="9" t="s">
        <v>209</v>
      </c>
      <c r="B92" s="11" t="s">
        <v>208</v>
      </c>
      <c r="C92" s="16">
        <v>-4937</v>
      </c>
      <c r="D92" s="16">
        <v>-2693</v>
      </c>
      <c r="E92" s="16">
        <v>-449</v>
      </c>
      <c r="F92" s="16">
        <v>-628</v>
      </c>
      <c r="G92" s="16">
        <v>-269</v>
      </c>
      <c r="H92" s="16">
        <v>0</v>
      </c>
      <c r="I92" s="16">
        <v>0</v>
      </c>
      <c r="J92" s="16">
        <v>0</v>
      </c>
      <c r="K92" s="16">
        <v>-8976</v>
      </c>
      <c r="L92" s="16">
        <v>0</v>
      </c>
      <c r="M92" s="16">
        <v>0</v>
      </c>
      <c r="N92" s="16">
        <v>0</v>
      </c>
      <c r="O92" s="16">
        <v>-358</v>
      </c>
      <c r="P92" s="16">
        <v>0</v>
      </c>
      <c r="Q92" s="16">
        <v>2.5</v>
      </c>
      <c r="R92" s="16">
        <v>0</v>
      </c>
      <c r="S92" s="16">
        <v>0</v>
      </c>
      <c r="T92" s="16">
        <v>-3</v>
      </c>
      <c r="U92" s="16">
        <v>-12</v>
      </c>
      <c r="V92" s="16">
        <v>-355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-8976</v>
      </c>
      <c r="AG92" s="16">
        <v>0</v>
      </c>
      <c r="AH92" s="16">
        <v>-67</v>
      </c>
      <c r="AI92" s="16">
        <v>-53</v>
      </c>
      <c r="AJ92" s="16">
        <v>0</v>
      </c>
      <c r="AK92" s="16">
        <v>-267</v>
      </c>
      <c r="AL92" s="16">
        <v>0</v>
      </c>
      <c r="AM92" s="16">
        <v>0</v>
      </c>
      <c r="AN92" s="16">
        <v>0</v>
      </c>
      <c r="AO92" s="16">
        <v>-387</v>
      </c>
      <c r="AP92" s="16">
        <v>-8589</v>
      </c>
      <c r="AQ92" s="5" t="s">
        <v>159</v>
      </c>
    </row>
    <row r="93" spans="1:43" x14ac:dyDescent="0.3">
      <c r="A93" s="9" t="s">
        <v>211</v>
      </c>
      <c r="B93" s="11" t="s">
        <v>210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3068</v>
      </c>
      <c r="K93" s="16">
        <v>0</v>
      </c>
      <c r="L93" s="16">
        <v>20</v>
      </c>
      <c r="M93" s="16">
        <v>0</v>
      </c>
      <c r="N93" s="16">
        <v>0</v>
      </c>
      <c r="O93" s="16">
        <v>155</v>
      </c>
      <c r="P93" s="16">
        <v>0</v>
      </c>
      <c r="Q93" s="16">
        <v>7.5</v>
      </c>
      <c r="R93" s="16">
        <v>0</v>
      </c>
      <c r="S93" s="16">
        <v>0</v>
      </c>
      <c r="T93" s="16">
        <v>0</v>
      </c>
      <c r="U93" s="16">
        <v>0</v>
      </c>
      <c r="V93" s="16">
        <v>155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3068</v>
      </c>
      <c r="AE93" s="16">
        <v>3068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-2403</v>
      </c>
      <c r="AN93" s="16">
        <v>0</v>
      </c>
      <c r="AO93" s="16">
        <v>-2403</v>
      </c>
      <c r="AP93" s="16">
        <v>2403</v>
      </c>
      <c r="AQ93" s="5" t="s">
        <v>159</v>
      </c>
    </row>
    <row r="94" spans="1:43" x14ac:dyDescent="0.3">
      <c r="A94" s="9" t="s">
        <v>213</v>
      </c>
      <c r="B94" s="11" t="s">
        <v>212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-1664</v>
      </c>
      <c r="K94" s="16">
        <v>0</v>
      </c>
      <c r="L94" s="16">
        <v>-17</v>
      </c>
      <c r="M94" s="16">
        <v>0</v>
      </c>
      <c r="N94" s="16">
        <v>0</v>
      </c>
      <c r="O94" s="16">
        <v>46</v>
      </c>
      <c r="P94" s="16">
        <v>0</v>
      </c>
      <c r="Q94" s="16">
        <v>5</v>
      </c>
      <c r="R94" s="16">
        <v>-12</v>
      </c>
      <c r="S94" s="16">
        <v>-54</v>
      </c>
      <c r="T94" s="16">
        <v>0</v>
      </c>
      <c r="U94" s="16">
        <v>2</v>
      </c>
      <c r="V94" s="16">
        <v>46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-1664</v>
      </c>
      <c r="AE94" s="16">
        <v>-1652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5" t="s">
        <v>159</v>
      </c>
    </row>
    <row r="95" spans="1:43" x14ac:dyDescent="0.3">
      <c r="A95" s="9" t="s">
        <v>215</v>
      </c>
      <c r="B95" s="11" t="s">
        <v>214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67</v>
      </c>
      <c r="P95" s="16">
        <v>0</v>
      </c>
      <c r="Q95" s="16">
        <v>2</v>
      </c>
      <c r="R95" s="16">
        <v>0</v>
      </c>
      <c r="S95" s="16">
        <v>0</v>
      </c>
      <c r="T95" s="16">
        <v>0</v>
      </c>
      <c r="U95" s="16">
        <v>0</v>
      </c>
      <c r="V95" s="16">
        <v>67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-2403</v>
      </c>
      <c r="AN95" s="16">
        <v>0</v>
      </c>
      <c r="AO95" s="16">
        <v>-2403</v>
      </c>
      <c r="AP95" s="16">
        <v>2403</v>
      </c>
      <c r="AQ95" s="5" t="s">
        <v>159</v>
      </c>
    </row>
    <row r="96" spans="1:43" x14ac:dyDescent="0.3">
      <c r="A96" s="9" t="s">
        <v>217</v>
      </c>
      <c r="B96" s="11" t="s">
        <v>216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142</v>
      </c>
      <c r="P96" s="16">
        <v>0</v>
      </c>
      <c r="Q96" s="16">
        <v>4.5</v>
      </c>
      <c r="R96" s="16">
        <v>0</v>
      </c>
      <c r="S96" s="16">
        <v>0</v>
      </c>
      <c r="T96" s="16">
        <v>0</v>
      </c>
      <c r="U96" s="16">
        <v>0</v>
      </c>
      <c r="V96" s="16">
        <v>142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-2403</v>
      </c>
      <c r="AN96" s="16">
        <v>0</v>
      </c>
      <c r="AO96" s="16">
        <v>-2403</v>
      </c>
      <c r="AP96" s="16">
        <v>2403</v>
      </c>
      <c r="AQ96" s="5" t="s">
        <v>159</v>
      </c>
    </row>
    <row r="97" spans="1:43" x14ac:dyDescent="0.3">
      <c r="A97" s="9" t="s">
        <v>219</v>
      </c>
      <c r="B97" s="11" t="s">
        <v>218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-2630</v>
      </c>
      <c r="K97" s="16">
        <v>0</v>
      </c>
      <c r="L97" s="16">
        <v>-16</v>
      </c>
      <c r="M97" s="16">
        <v>0</v>
      </c>
      <c r="N97" s="16">
        <v>0</v>
      </c>
      <c r="O97" s="16">
        <v>-138</v>
      </c>
      <c r="P97" s="16">
        <v>0</v>
      </c>
      <c r="Q97" s="16">
        <v>-6.5</v>
      </c>
      <c r="R97" s="16">
        <v>0</v>
      </c>
      <c r="S97" s="16">
        <v>0</v>
      </c>
      <c r="T97" s="16">
        <v>0</v>
      </c>
      <c r="U97" s="16">
        <v>0</v>
      </c>
      <c r="V97" s="16">
        <v>-138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-2630</v>
      </c>
      <c r="AE97" s="16">
        <v>-2630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-2403</v>
      </c>
      <c r="AN97" s="16">
        <v>0</v>
      </c>
      <c r="AO97" s="16">
        <v>-2403</v>
      </c>
      <c r="AP97" s="16">
        <v>2403</v>
      </c>
      <c r="AQ97" s="5" t="s">
        <v>159</v>
      </c>
    </row>
    <row r="98" spans="1:43" x14ac:dyDescent="0.3">
      <c r="A98" s="9" t="s">
        <v>221</v>
      </c>
      <c r="B98" s="11" t="s">
        <v>220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-680</v>
      </c>
      <c r="K98" s="16">
        <v>0</v>
      </c>
      <c r="L98" s="16">
        <v>-6</v>
      </c>
      <c r="M98" s="16">
        <v>0</v>
      </c>
      <c r="N98" s="16">
        <v>0</v>
      </c>
      <c r="O98" s="16">
        <v>227</v>
      </c>
      <c r="P98" s="16">
        <v>-500</v>
      </c>
      <c r="Q98" s="16">
        <v>10</v>
      </c>
      <c r="R98" s="16">
        <v>0</v>
      </c>
      <c r="S98" s="16">
        <v>0</v>
      </c>
      <c r="T98" s="16">
        <v>0</v>
      </c>
      <c r="U98" s="16">
        <v>0</v>
      </c>
      <c r="V98" s="16">
        <v>227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-1180</v>
      </c>
      <c r="AE98" s="16">
        <v>-1180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5" t="s">
        <v>159</v>
      </c>
    </row>
    <row r="99" spans="1:43" x14ac:dyDescent="0.3">
      <c r="A99" s="9" t="s">
        <v>223</v>
      </c>
      <c r="B99" s="11" t="s">
        <v>222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-96</v>
      </c>
      <c r="P99" s="16">
        <v>0</v>
      </c>
      <c r="Q99" s="16">
        <v>-11</v>
      </c>
      <c r="R99" s="16">
        <v>0</v>
      </c>
      <c r="S99" s="16">
        <v>0</v>
      </c>
      <c r="T99" s="16">
        <v>0</v>
      </c>
      <c r="U99" s="16">
        <v>-3</v>
      </c>
      <c r="V99" s="16">
        <v>-96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5" t="s">
        <v>159</v>
      </c>
    </row>
    <row r="100" spans="1:43" x14ac:dyDescent="0.3">
      <c r="A100" s="9" t="s">
        <v>225</v>
      </c>
      <c r="B100" s="11" t="s">
        <v>224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374</v>
      </c>
      <c r="P100" s="16">
        <v>0</v>
      </c>
      <c r="Q100" s="16">
        <v>12</v>
      </c>
      <c r="R100" s="16">
        <v>0</v>
      </c>
      <c r="S100" s="16">
        <v>0</v>
      </c>
      <c r="T100" s="16">
        <v>0</v>
      </c>
      <c r="U100" s="16">
        <v>0</v>
      </c>
      <c r="V100" s="16">
        <v>374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-2403</v>
      </c>
      <c r="AN100" s="16">
        <v>0</v>
      </c>
      <c r="AO100" s="16">
        <v>-2403</v>
      </c>
      <c r="AP100" s="16">
        <v>2403</v>
      </c>
      <c r="AQ100" s="5" t="s">
        <v>159</v>
      </c>
    </row>
    <row r="101" spans="1:43" x14ac:dyDescent="0.3">
      <c r="A101" s="9" t="s">
        <v>227</v>
      </c>
      <c r="B101" s="11" t="s">
        <v>226</v>
      </c>
      <c r="C101" s="16">
        <v>-1990</v>
      </c>
      <c r="D101" s="16">
        <v>-1085</v>
      </c>
      <c r="E101" s="16">
        <v>-181</v>
      </c>
      <c r="F101" s="16">
        <v>-253</v>
      </c>
      <c r="G101" s="16">
        <v>-109</v>
      </c>
      <c r="H101" s="16">
        <v>0</v>
      </c>
      <c r="I101" s="16">
        <v>0</v>
      </c>
      <c r="J101" s="16">
        <v>-2606</v>
      </c>
      <c r="K101" s="16">
        <v>0</v>
      </c>
      <c r="L101" s="16">
        <v>-24</v>
      </c>
      <c r="M101" s="16">
        <v>0</v>
      </c>
      <c r="N101" s="16">
        <v>0</v>
      </c>
      <c r="O101" s="16">
        <v>-190</v>
      </c>
      <c r="P101" s="16">
        <v>0</v>
      </c>
      <c r="Q101" s="16">
        <v>-2.5</v>
      </c>
      <c r="R101" s="16">
        <v>0</v>
      </c>
      <c r="S101" s="16">
        <v>0</v>
      </c>
      <c r="T101" s="16">
        <v>0</v>
      </c>
      <c r="U101" s="16">
        <v>0</v>
      </c>
      <c r="V101" s="16">
        <v>-190</v>
      </c>
      <c r="W101" s="16">
        <v>-2533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-802</v>
      </c>
      <c r="AD101" s="16">
        <v>-2606</v>
      </c>
      <c r="AE101" s="16">
        <v>-2606</v>
      </c>
      <c r="AF101" s="16">
        <v>-4420</v>
      </c>
      <c r="AG101" s="16">
        <v>-304</v>
      </c>
      <c r="AH101" s="16">
        <v>0</v>
      </c>
      <c r="AI101" s="16">
        <v>0</v>
      </c>
      <c r="AJ101" s="16">
        <v>0</v>
      </c>
      <c r="AK101" s="16">
        <v>-106</v>
      </c>
      <c r="AL101" s="16">
        <v>0</v>
      </c>
      <c r="AM101" s="16">
        <v>-2403</v>
      </c>
      <c r="AN101" s="16">
        <v>0</v>
      </c>
      <c r="AO101" s="16">
        <v>-2813</v>
      </c>
      <c r="AP101" s="16">
        <v>-1607</v>
      </c>
      <c r="AQ101" s="5" t="s">
        <v>159</v>
      </c>
    </row>
    <row r="102" spans="1:43" x14ac:dyDescent="0.3">
      <c r="A102" s="9" t="s">
        <v>229</v>
      </c>
      <c r="B102" s="11" t="s">
        <v>228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-1076.92</v>
      </c>
      <c r="J102" s="16">
        <v>4111</v>
      </c>
      <c r="K102" s="16">
        <v>0</v>
      </c>
      <c r="L102" s="16">
        <v>36.5</v>
      </c>
      <c r="M102" s="16">
        <v>0</v>
      </c>
      <c r="N102" s="16">
        <v>500</v>
      </c>
      <c r="O102" s="16">
        <v>32</v>
      </c>
      <c r="P102" s="16">
        <v>1000</v>
      </c>
      <c r="Q102" s="16">
        <v>2.5</v>
      </c>
      <c r="R102" s="16">
        <v>0</v>
      </c>
      <c r="S102" s="16">
        <v>0</v>
      </c>
      <c r="T102" s="16">
        <v>0</v>
      </c>
      <c r="U102" s="16">
        <v>0</v>
      </c>
      <c r="V102" s="16">
        <v>32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4534</v>
      </c>
      <c r="AE102" s="16">
        <v>4534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-2403</v>
      </c>
      <c r="AN102" s="16">
        <v>0</v>
      </c>
      <c r="AO102" s="16">
        <v>-2403</v>
      </c>
      <c r="AP102" s="16">
        <v>2403</v>
      </c>
      <c r="AQ102" s="5" t="s">
        <v>159</v>
      </c>
    </row>
    <row r="103" spans="1:43" x14ac:dyDescent="0.3">
      <c r="A103" s="9" t="s">
        <v>231</v>
      </c>
      <c r="B103" s="11" t="s">
        <v>230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2604</v>
      </c>
      <c r="K103" s="16">
        <v>0</v>
      </c>
      <c r="L103" s="16">
        <v>16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2604</v>
      </c>
      <c r="AE103" s="16">
        <v>2604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-2403</v>
      </c>
      <c r="AN103" s="16">
        <v>0</v>
      </c>
      <c r="AO103" s="16">
        <v>-2403</v>
      </c>
      <c r="AP103" s="16">
        <v>2403</v>
      </c>
      <c r="AQ103" s="5" t="s">
        <v>159</v>
      </c>
    </row>
    <row r="104" spans="1:43" x14ac:dyDescent="0.3">
      <c r="A104" s="9" t="s">
        <v>233</v>
      </c>
      <c r="B104" s="11" t="s">
        <v>232</v>
      </c>
      <c r="C104" s="16">
        <v>-774</v>
      </c>
      <c r="D104" s="16">
        <v>-423</v>
      </c>
      <c r="E104" s="16">
        <v>-70</v>
      </c>
      <c r="F104" s="16">
        <v>-99</v>
      </c>
      <c r="G104" s="16">
        <v>-42</v>
      </c>
      <c r="H104" s="16">
        <v>0</v>
      </c>
      <c r="I104" s="16">
        <v>308.08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29</v>
      </c>
      <c r="P104" s="16">
        <v>0</v>
      </c>
      <c r="Q104" s="16">
        <v>12.5</v>
      </c>
      <c r="R104" s="16">
        <v>0</v>
      </c>
      <c r="S104" s="16">
        <v>0</v>
      </c>
      <c r="T104" s="16">
        <v>0</v>
      </c>
      <c r="U104" s="16">
        <v>0</v>
      </c>
      <c r="V104" s="16">
        <v>29</v>
      </c>
      <c r="W104" s="16">
        <v>-985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-84</v>
      </c>
      <c r="AD104" s="16">
        <v>308</v>
      </c>
      <c r="AE104" s="16">
        <v>308</v>
      </c>
      <c r="AF104" s="16">
        <v>-1492</v>
      </c>
      <c r="AG104" s="16">
        <v>-118</v>
      </c>
      <c r="AH104" s="16">
        <v>0</v>
      </c>
      <c r="AI104" s="16">
        <v>0</v>
      </c>
      <c r="AJ104" s="16">
        <v>0</v>
      </c>
      <c r="AK104" s="16">
        <v>-39</v>
      </c>
      <c r="AL104" s="16">
        <v>0</v>
      </c>
      <c r="AM104" s="16">
        <v>0</v>
      </c>
      <c r="AN104" s="16">
        <v>0</v>
      </c>
      <c r="AO104" s="16">
        <v>-157</v>
      </c>
      <c r="AP104" s="16">
        <v>-1335</v>
      </c>
      <c r="AQ104" s="5" t="s">
        <v>159</v>
      </c>
    </row>
    <row r="105" spans="1:43" x14ac:dyDescent="0.3">
      <c r="A105" s="9" t="s">
        <v>235</v>
      </c>
      <c r="B105" s="11" t="s">
        <v>234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214</v>
      </c>
      <c r="P105" s="16">
        <v>0</v>
      </c>
      <c r="Q105" s="16">
        <v>10</v>
      </c>
      <c r="R105" s="16">
        <v>0</v>
      </c>
      <c r="S105" s="16">
        <v>0</v>
      </c>
      <c r="T105" s="16">
        <v>0</v>
      </c>
      <c r="U105" s="16">
        <v>0</v>
      </c>
      <c r="V105" s="16">
        <v>214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-2403</v>
      </c>
      <c r="AN105" s="16">
        <v>0</v>
      </c>
      <c r="AO105" s="16">
        <v>-2403</v>
      </c>
      <c r="AP105" s="16">
        <v>2403</v>
      </c>
      <c r="AQ105" s="5" t="s">
        <v>159</v>
      </c>
    </row>
    <row r="106" spans="1:43" x14ac:dyDescent="0.3">
      <c r="A106" s="9" t="s">
        <v>237</v>
      </c>
      <c r="B106" s="11" t="s">
        <v>236</v>
      </c>
      <c r="C106" s="16">
        <v>558</v>
      </c>
      <c r="D106" s="16">
        <v>305</v>
      </c>
      <c r="E106" s="16">
        <v>51</v>
      </c>
      <c r="F106" s="16">
        <v>71</v>
      </c>
      <c r="G106" s="16">
        <v>31</v>
      </c>
      <c r="H106" s="16">
        <v>0</v>
      </c>
      <c r="I106" s="16">
        <v>0</v>
      </c>
      <c r="J106" s="16">
        <v>-5405</v>
      </c>
      <c r="K106" s="16">
        <v>0</v>
      </c>
      <c r="L106" s="16">
        <v>-36</v>
      </c>
      <c r="M106" s="16">
        <v>0</v>
      </c>
      <c r="N106" s="16">
        <v>0</v>
      </c>
      <c r="O106" s="16">
        <v>70</v>
      </c>
      <c r="P106" s="16">
        <v>-500</v>
      </c>
      <c r="Q106" s="16">
        <v>0.5</v>
      </c>
      <c r="R106" s="16">
        <v>0</v>
      </c>
      <c r="S106" s="16">
        <v>0</v>
      </c>
      <c r="T106" s="16">
        <v>0</v>
      </c>
      <c r="U106" s="16">
        <v>0</v>
      </c>
      <c r="V106" s="16">
        <v>70</v>
      </c>
      <c r="W106" s="16">
        <v>709.79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237</v>
      </c>
      <c r="AD106" s="16">
        <v>-5905</v>
      </c>
      <c r="AE106" s="16">
        <v>-5905</v>
      </c>
      <c r="AF106" s="16">
        <v>1253</v>
      </c>
      <c r="AG106" s="16">
        <v>85</v>
      </c>
      <c r="AH106" s="16">
        <v>0</v>
      </c>
      <c r="AI106" s="16">
        <v>0</v>
      </c>
      <c r="AJ106" s="16">
        <v>0</v>
      </c>
      <c r="AK106" s="16">
        <v>21</v>
      </c>
      <c r="AL106" s="16">
        <v>0</v>
      </c>
      <c r="AM106" s="16">
        <v>-3204</v>
      </c>
      <c r="AN106" s="16">
        <v>0</v>
      </c>
      <c r="AO106" s="16">
        <v>-3098</v>
      </c>
      <c r="AP106" s="16">
        <v>4351</v>
      </c>
      <c r="AQ106" s="5" t="s">
        <v>159</v>
      </c>
    </row>
    <row r="107" spans="1:43" x14ac:dyDescent="0.3">
      <c r="A107" s="9" t="s">
        <v>239</v>
      </c>
      <c r="B107" s="11" t="s">
        <v>238</v>
      </c>
      <c r="C107" s="16">
        <v>-279</v>
      </c>
      <c r="D107" s="16">
        <v>-152</v>
      </c>
      <c r="E107" s="16">
        <v>-26</v>
      </c>
      <c r="F107" s="16">
        <v>-35</v>
      </c>
      <c r="G107" s="16">
        <v>-15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-507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-507</v>
      </c>
      <c r="AQ107" s="5" t="s">
        <v>159</v>
      </c>
    </row>
    <row r="108" spans="1:43" x14ac:dyDescent="0.3">
      <c r="A108" s="9" t="s">
        <v>241</v>
      </c>
      <c r="B108" s="11" t="s">
        <v>240</v>
      </c>
      <c r="C108" s="16">
        <v>385</v>
      </c>
      <c r="D108" s="16">
        <v>210</v>
      </c>
      <c r="E108" s="16">
        <v>35</v>
      </c>
      <c r="F108" s="16">
        <v>49</v>
      </c>
      <c r="G108" s="16">
        <v>21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83</v>
      </c>
      <c r="P108" s="16">
        <v>0</v>
      </c>
      <c r="Q108" s="16">
        <v>2</v>
      </c>
      <c r="R108" s="16">
        <v>0</v>
      </c>
      <c r="S108" s="16">
        <v>0</v>
      </c>
      <c r="T108" s="16">
        <v>0</v>
      </c>
      <c r="U108" s="16">
        <v>0</v>
      </c>
      <c r="V108" s="16">
        <v>83</v>
      </c>
      <c r="W108" s="16">
        <v>490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365</v>
      </c>
      <c r="AD108" s="16">
        <v>0</v>
      </c>
      <c r="AE108" s="16">
        <v>0</v>
      </c>
      <c r="AF108" s="16">
        <v>1065</v>
      </c>
      <c r="AG108" s="16">
        <v>58</v>
      </c>
      <c r="AH108" s="16">
        <v>0</v>
      </c>
      <c r="AI108" s="16">
        <v>0</v>
      </c>
      <c r="AJ108" s="16">
        <v>0</v>
      </c>
      <c r="AK108" s="16">
        <v>21</v>
      </c>
      <c r="AL108" s="16">
        <v>0</v>
      </c>
      <c r="AM108" s="16">
        <v>-1602</v>
      </c>
      <c r="AN108" s="16">
        <v>0</v>
      </c>
      <c r="AO108" s="16">
        <v>-1523</v>
      </c>
      <c r="AP108" s="16">
        <v>2588</v>
      </c>
      <c r="AQ108" s="5" t="s">
        <v>159</v>
      </c>
    </row>
    <row r="109" spans="1:43" x14ac:dyDescent="0.3">
      <c r="A109" s="9" t="s">
        <v>243</v>
      </c>
      <c r="B109" s="11" t="s">
        <v>242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14</v>
      </c>
      <c r="P109" s="16">
        <v>0</v>
      </c>
      <c r="Q109" s="16">
        <v>1</v>
      </c>
      <c r="R109" s="16">
        <v>0</v>
      </c>
      <c r="S109" s="16">
        <v>0</v>
      </c>
      <c r="T109" s="16">
        <v>0</v>
      </c>
      <c r="U109" s="16">
        <v>0</v>
      </c>
      <c r="V109" s="16">
        <v>14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5" t="s">
        <v>159</v>
      </c>
    </row>
    <row r="110" spans="1:43" x14ac:dyDescent="0.3">
      <c r="A110" s="9" t="s">
        <v>245</v>
      </c>
      <c r="B110" s="11" t="s">
        <v>244</v>
      </c>
      <c r="C110" s="16">
        <v>884</v>
      </c>
      <c r="D110" s="16">
        <v>481</v>
      </c>
      <c r="E110" s="16">
        <v>80</v>
      </c>
      <c r="F110" s="16">
        <v>112</v>
      </c>
      <c r="G110" s="16">
        <v>48</v>
      </c>
      <c r="H110" s="16">
        <v>0</v>
      </c>
      <c r="I110" s="16">
        <v>0</v>
      </c>
      <c r="J110" s="16">
        <v>454</v>
      </c>
      <c r="K110" s="16">
        <v>0</v>
      </c>
      <c r="L110" s="16">
        <v>4</v>
      </c>
      <c r="M110" s="16">
        <v>0</v>
      </c>
      <c r="N110" s="16">
        <v>0</v>
      </c>
      <c r="O110" s="16">
        <v>373</v>
      </c>
      <c r="P110" s="16">
        <v>0</v>
      </c>
      <c r="Q110" s="16">
        <v>10</v>
      </c>
      <c r="R110" s="16">
        <v>0</v>
      </c>
      <c r="S110" s="16">
        <v>0</v>
      </c>
      <c r="T110" s="16">
        <v>0</v>
      </c>
      <c r="U110" s="16">
        <v>0</v>
      </c>
      <c r="V110" s="16">
        <v>373</v>
      </c>
      <c r="W110" s="16">
        <v>1124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1959</v>
      </c>
      <c r="AD110" s="16">
        <v>454</v>
      </c>
      <c r="AE110" s="16">
        <v>454</v>
      </c>
      <c r="AF110" s="16">
        <v>3564</v>
      </c>
      <c r="AG110" s="16">
        <v>135</v>
      </c>
      <c r="AH110" s="16">
        <v>0</v>
      </c>
      <c r="AI110" s="16">
        <v>0</v>
      </c>
      <c r="AJ110" s="16">
        <v>0</v>
      </c>
      <c r="AK110" s="16">
        <v>45</v>
      </c>
      <c r="AL110" s="16">
        <v>0</v>
      </c>
      <c r="AM110" s="16">
        <v>-1602</v>
      </c>
      <c r="AN110" s="16">
        <v>0</v>
      </c>
      <c r="AO110" s="16">
        <v>-1422</v>
      </c>
      <c r="AP110" s="16">
        <v>4986</v>
      </c>
      <c r="AQ110" s="5" t="s">
        <v>159</v>
      </c>
    </row>
    <row r="111" spans="1:43" x14ac:dyDescent="0.3">
      <c r="A111" s="9" t="s">
        <v>247</v>
      </c>
      <c r="B111" s="11" t="s">
        <v>246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106</v>
      </c>
      <c r="P111" s="16">
        <v>0</v>
      </c>
      <c r="Q111" s="16">
        <v>5</v>
      </c>
      <c r="R111" s="16">
        <v>0</v>
      </c>
      <c r="S111" s="16">
        <v>0</v>
      </c>
      <c r="T111" s="16">
        <v>0</v>
      </c>
      <c r="U111" s="16">
        <v>0</v>
      </c>
      <c r="V111" s="16">
        <v>106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-3204</v>
      </c>
      <c r="AN111" s="16">
        <v>0</v>
      </c>
      <c r="AO111" s="16">
        <v>-3204</v>
      </c>
      <c r="AP111" s="16">
        <v>3204</v>
      </c>
      <c r="AQ111" s="5" t="s">
        <v>159</v>
      </c>
    </row>
    <row r="112" spans="1:43" x14ac:dyDescent="0.3">
      <c r="A112" s="9" t="s">
        <v>249</v>
      </c>
      <c r="B112" s="11" t="s">
        <v>248</v>
      </c>
      <c r="C112" s="16">
        <v>-3353</v>
      </c>
      <c r="D112" s="16">
        <v>-1830</v>
      </c>
      <c r="E112" s="16">
        <v>-305</v>
      </c>
      <c r="F112" s="16">
        <v>-427</v>
      </c>
      <c r="G112" s="16">
        <v>-183</v>
      </c>
      <c r="H112" s="16">
        <v>0</v>
      </c>
      <c r="I112" s="16">
        <v>-134.22999999999999</v>
      </c>
      <c r="J112" s="16">
        <v>500</v>
      </c>
      <c r="K112" s="16">
        <v>0</v>
      </c>
      <c r="L112" s="16">
        <v>4</v>
      </c>
      <c r="M112" s="16">
        <v>0</v>
      </c>
      <c r="N112" s="16">
        <v>0</v>
      </c>
      <c r="O112" s="16">
        <v>-220</v>
      </c>
      <c r="P112" s="16">
        <v>0</v>
      </c>
      <c r="Q112" s="16">
        <v>10</v>
      </c>
      <c r="R112" s="16">
        <v>0</v>
      </c>
      <c r="S112" s="16">
        <v>0</v>
      </c>
      <c r="T112" s="16">
        <v>0</v>
      </c>
      <c r="U112" s="16">
        <v>0</v>
      </c>
      <c r="V112" s="16">
        <v>-220</v>
      </c>
      <c r="W112" s="16">
        <v>-4267.87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-1326</v>
      </c>
      <c r="AD112" s="16">
        <v>366</v>
      </c>
      <c r="AE112" s="16">
        <v>366</v>
      </c>
      <c r="AF112" s="16">
        <v>-7424</v>
      </c>
      <c r="AG112" s="16">
        <v>-513</v>
      </c>
      <c r="AH112" s="16">
        <v>0</v>
      </c>
      <c r="AI112" s="16">
        <v>0</v>
      </c>
      <c r="AJ112" s="16">
        <v>0</v>
      </c>
      <c r="AK112" s="16">
        <v>-155</v>
      </c>
      <c r="AL112" s="16">
        <v>0</v>
      </c>
      <c r="AM112" s="16">
        <v>-801</v>
      </c>
      <c r="AN112" s="16">
        <v>0</v>
      </c>
      <c r="AO112" s="16">
        <v>-1469</v>
      </c>
      <c r="AP112" s="16">
        <v>-5955</v>
      </c>
      <c r="AQ112" s="5" t="s">
        <v>159</v>
      </c>
    </row>
    <row r="113" spans="1:43" x14ac:dyDescent="0.3">
      <c r="A113" s="9" t="s">
        <v>251</v>
      </c>
      <c r="B113" s="11" t="s">
        <v>250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1000</v>
      </c>
      <c r="I113" s="16">
        <v>0</v>
      </c>
      <c r="J113" s="16">
        <v>1473</v>
      </c>
      <c r="K113" s="16">
        <v>0</v>
      </c>
      <c r="L113" s="16">
        <v>16</v>
      </c>
      <c r="M113" s="16">
        <v>0</v>
      </c>
      <c r="N113" s="16">
        <v>0</v>
      </c>
      <c r="O113" s="16">
        <v>53</v>
      </c>
      <c r="P113" s="16">
        <v>0</v>
      </c>
      <c r="Q113" s="16">
        <v>5</v>
      </c>
      <c r="R113" s="16">
        <v>18</v>
      </c>
      <c r="S113" s="16">
        <v>80</v>
      </c>
      <c r="T113" s="16">
        <v>0</v>
      </c>
      <c r="U113" s="16">
        <v>2</v>
      </c>
      <c r="V113" s="16">
        <v>53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2473</v>
      </c>
      <c r="AE113" s="16">
        <v>2455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5" t="s">
        <v>159</v>
      </c>
    </row>
    <row r="114" spans="1:43" x14ac:dyDescent="0.3">
      <c r="A114" s="9" t="s">
        <v>253</v>
      </c>
      <c r="B114" s="11" t="s">
        <v>252</v>
      </c>
      <c r="C114" s="16">
        <v>-276</v>
      </c>
      <c r="D114" s="16">
        <v>-150</v>
      </c>
      <c r="E114" s="16">
        <v>-25</v>
      </c>
      <c r="F114" s="16">
        <v>-36</v>
      </c>
      <c r="G114" s="16">
        <v>-15</v>
      </c>
      <c r="H114" s="16">
        <v>0</v>
      </c>
      <c r="I114" s="16">
        <v>0</v>
      </c>
      <c r="J114" s="16">
        <v>1472</v>
      </c>
      <c r="K114" s="16">
        <v>-502</v>
      </c>
      <c r="L114" s="16">
        <v>16</v>
      </c>
      <c r="M114" s="16">
        <v>0</v>
      </c>
      <c r="N114" s="16">
        <v>0</v>
      </c>
      <c r="O114" s="16">
        <v>21</v>
      </c>
      <c r="P114" s="16">
        <v>0</v>
      </c>
      <c r="Q114" s="16">
        <v>5</v>
      </c>
      <c r="R114" s="16">
        <v>11</v>
      </c>
      <c r="S114" s="16">
        <v>48</v>
      </c>
      <c r="T114" s="16">
        <v>0</v>
      </c>
      <c r="U114" s="16">
        <v>0</v>
      </c>
      <c r="V114" s="16">
        <v>21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1472</v>
      </c>
      <c r="AE114" s="16">
        <v>1461</v>
      </c>
      <c r="AF114" s="16">
        <v>-502</v>
      </c>
      <c r="AG114" s="16">
        <v>0</v>
      </c>
      <c r="AH114" s="16">
        <v>-3</v>
      </c>
      <c r="AI114" s="16">
        <v>0</v>
      </c>
      <c r="AJ114" s="16">
        <v>0</v>
      </c>
      <c r="AK114" s="16">
        <v>-18</v>
      </c>
      <c r="AL114" s="16">
        <v>680</v>
      </c>
      <c r="AM114" s="16">
        <v>0</v>
      </c>
      <c r="AN114" s="16">
        <v>0</v>
      </c>
      <c r="AO114" s="16">
        <v>659</v>
      </c>
      <c r="AP114" s="16">
        <v>-1161</v>
      </c>
      <c r="AQ114" s="5" t="s">
        <v>159</v>
      </c>
    </row>
    <row r="115" spans="1:43" x14ac:dyDescent="0.3">
      <c r="A115" s="9" t="s">
        <v>255</v>
      </c>
      <c r="B115" s="11" t="s">
        <v>254</v>
      </c>
      <c r="C115" s="16">
        <v>-381</v>
      </c>
      <c r="D115" s="16">
        <v>-208</v>
      </c>
      <c r="E115" s="16">
        <v>-35</v>
      </c>
      <c r="F115" s="16">
        <v>-49</v>
      </c>
      <c r="G115" s="16">
        <v>-21</v>
      </c>
      <c r="H115" s="16">
        <v>0</v>
      </c>
      <c r="I115" s="16">
        <v>114.92</v>
      </c>
      <c r="J115" s="16">
        <v>2041</v>
      </c>
      <c r="K115" s="16">
        <v>0</v>
      </c>
      <c r="L115" s="16">
        <v>18</v>
      </c>
      <c r="M115" s="16">
        <v>0</v>
      </c>
      <c r="N115" s="16">
        <v>0</v>
      </c>
      <c r="O115" s="16">
        <v>72</v>
      </c>
      <c r="P115" s="16">
        <v>0</v>
      </c>
      <c r="Q115" s="16">
        <v>7.5</v>
      </c>
      <c r="R115" s="16">
        <v>0</v>
      </c>
      <c r="S115" s="16">
        <v>0</v>
      </c>
      <c r="T115" s="16">
        <v>0</v>
      </c>
      <c r="U115" s="16">
        <v>0</v>
      </c>
      <c r="V115" s="16">
        <v>72</v>
      </c>
      <c r="W115" s="16">
        <v>-469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-355</v>
      </c>
      <c r="AD115" s="16">
        <v>2156</v>
      </c>
      <c r="AE115" s="16">
        <v>2156</v>
      </c>
      <c r="AF115" s="16">
        <v>-1049</v>
      </c>
      <c r="AG115" s="16">
        <v>-56</v>
      </c>
      <c r="AH115" s="16">
        <v>0</v>
      </c>
      <c r="AI115" s="16">
        <v>0</v>
      </c>
      <c r="AJ115" s="16">
        <v>0</v>
      </c>
      <c r="AK115" s="16">
        <v>-19</v>
      </c>
      <c r="AL115" s="16">
        <v>0</v>
      </c>
      <c r="AM115" s="16">
        <v>-2403</v>
      </c>
      <c r="AN115" s="16">
        <v>0</v>
      </c>
      <c r="AO115" s="16">
        <v>-2478</v>
      </c>
      <c r="AP115" s="16">
        <v>1429</v>
      </c>
      <c r="AQ115" s="5" t="s">
        <v>159</v>
      </c>
    </row>
    <row r="116" spans="1:43" x14ac:dyDescent="0.3">
      <c r="A116" s="9" t="s">
        <v>257</v>
      </c>
      <c r="B116" s="11" t="s">
        <v>256</v>
      </c>
      <c r="C116" s="16">
        <v>962</v>
      </c>
      <c r="D116" s="16">
        <v>525</v>
      </c>
      <c r="E116" s="16">
        <v>87</v>
      </c>
      <c r="F116" s="16">
        <v>122</v>
      </c>
      <c r="G116" s="16">
        <v>52</v>
      </c>
      <c r="H116" s="16">
        <v>0</v>
      </c>
      <c r="I116" s="16">
        <v>0</v>
      </c>
      <c r="J116" s="16">
        <v>-1037</v>
      </c>
      <c r="K116" s="16">
        <v>0</v>
      </c>
      <c r="L116" s="16">
        <v>-4</v>
      </c>
      <c r="M116" s="16">
        <v>0</v>
      </c>
      <c r="N116" s="16">
        <v>0</v>
      </c>
      <c r="O116" s="16">
        <v>212</v>
      </c>
      <c r="P116" s="16">
        <v>0</v>
      </c>
      <c r="Q116" s="16">
        <v>5</v>
      </c>
      <c r="R116" s="16">
        <v>0</v>
      </c>
      <c r="S116" s="16">
        <v>0</v>
      </c>
      <c r="T116" s="16">
        <v>0</v>
      </c>
      <c r="U116" s="16">
        <v>0</v>
      </c>
      <c r="V116" s="16">
        <v>212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175</v>
      </c>
      <c r="AD116" s="16">
        <v>-1037</v>
      </c>
      <c r="AE116" s="16">
        <v>-1037</v>
      </c>
      <c r="AF116" s="16">
        <v>1923</v>
      </c>
      <c r="AG116" s="16">
        <v>0</v>
      </c>
      <c r="AH116" s="16">
        <v>0</v>
      </c>
      <c r="AI116" s="16">
        <v>0</v>
      </c>
      <c r="AJ116" s="16">
        <v>0</v>
      </c>
      <c r="AK116" s="16">
        <v>21</v>
      </c>
      <c r="AL116" s="16">
        <v>0</v>
      </c>
      <c r="AM116" s="16">
        <v>-801</v>
      </c>
      <c r="AN116" s="16">
        <v>0</v>
      </c>
      <c r="AO116" s="16">
        <v>-780</v>
      </c>
      <c r="AP116" s="16">
        <v>2703</v>
      </c>
      <c r="AQ116" s="5" t="s">
        <v>159</v>
      </c>
    </row>
    <row r="117" spans="1:43" x14ac:dyDescent="0.3">
      <c r="A117" s="9" t="s">
        <v>259</v>
      </c>
      <c r="B117" s="11" t="s">
        <v>258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-2689</v>
      </c>
      <c r="K117" s="16">
        <v>0</v>
      </c>
      <c r="L117" s="16">
        <v>-27</v>
      </c>
      <c r="M117" s="16">
        <v>0</v>
      </c>
      <c r="N117" s="16">
        <v>0</v>
      </c>
      <c r="O117" s="16">
        <v>-227</v>
      </c>
      <c r="P117" s="16">
        <v>-500</v>
      </c>
      <c r="Q117" s="16">
        <v>-20</v>
      </c>
      <c r="R117" s="16">
        <v>0</v>
      </c>
      <c r="S117" s="16">
        <v>0</v>
      </c>
      <c r="T117" s="16">
        <v>0</v>
      </c>
      <c r="U117" s="16">
        <v>0</v>
      </c>
      <c r="V117" s="16">
        <v>-227</v>
      </c>
      <c r="W117" s="16">
        <v>0</v>
      </c>
      <c r="X117" s="16">
        <v>-500</v>
      </c>
      <c r="Y117" s="16">
        <v>-3.75</v>
      </c>
      <c r="Z117" s="16">
        <v>-16.25</v>
      </c>
      <c r="AA117" s="16">
        <v>-483.75</v>
      </c>
      <c r="AB117" s="16">
        <v>0</v>
      </c>
      <c r="AC117" s="16">
        <v>0</v>
      </c>
      <c r="AD117" s="16">
        <v>-3189</v>
      </c>
      <c r="AE117" s="16">
        <v>-3189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-801</v>
      </c>
      <c r="AN117" s="16">
        <v>0</v>
      </c>
      <c r="AO117" s="16">
        <v>-801</v>
      </c>
      <c r="AP117" s="16">
        <v>801</v>
      </c>
      <c r="AQ117" s="5" t="s">
        <v>159</v>
      </c>
    </row>
    <row r="118" spans="1:43" x14ac:dyDescent="0.3">
      <c r="A118" s="9" t="s">
        <v>261</v>
      </c>
      <c r="B118" s="11" t="s">
        <v>260</v>
      </c>
      <c r="C118" s="16">
        <v>0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138</v>
      </c>
      <c r="P118" s="16">
        <v>0</v>
      </c>
      <c r="Q118" s="16">
        <v>2.5</v>
      </c>
      <c r="R118" s="16">
        <v>0</v>
      </c>
      <c r="S118" s="16">
        <v>0</v>
      </c>
      <c r="T118" s="16">
        <v>0</v>
      </c>
      <c r="U118" s="16">
        <v>0</v>
      </c>
      <c r="V118" s="16">
        <v>138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-6269</v>
      </c>
      <c r="AK118" s="16">
        <v>0</v>
      </c>
      <c r="AL118" s="16">
        <v>0</v>
      </c>
      <c r="AM118" s="16">
        <v>-4806</v>
      </c>
      <c r="AN118" s="16">
        <v>0</v>
      </c>
      <c r="AO118" s="16">
        <v>-11075</v>
      </c>
      <c r="AP118" s="16">
        <v>11075</v>
      </c>
      <c r="AQ118" s="5" t="s">
        <v>159</v>
      </c>
    </row>
    <row r="119" spans="1:43" x14ac:dyDescent="0.3">
      <c r="A119" s="9" t="s">
        <v>263</v>
      </c>
      <c r="B119" s="11" t="s">
        <v>262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-8830</v>
      </c>
      <c r="AK119" s="16">
        <v>0</v>
      </c>
      <c r="AL119" s="16">
        <v>0</v>
      </c>
      <c r="AM119" s="16">
        <v>-2403</v>
      </c>
      <c r="AN119" s="16">
        <v>0</v>
      </c>
      <c r="AO119" s="16">
        <v>-11233</v>
      </c>
      <c r="AP119" s="16">
        <v>11233</v>
      </c>
      <c r="AQ119" s="5" t="s">
        <v>159</v>
      </c>
    </row>
    <row r="120" spans="1:43" x14ac:dyDescent="0.3">
      <c r="A120" s="9" t="s">
        <v>265</v>
      </c>
      <c r="B120" s="11" t="s">
        <v>264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1000</v>
      </c>
      <c r="I120" s="16">
        <v>-9.23</v>
      </c>
      <c r="J120" s="16">
        <v>992</v>
      </c>
      <c r="K120" s="16">
        <v>0</v>
      </c>
      <c r="L120" s="16">
        <v>8</v>
      </c>
      <c r="M120" s="16">
        <v>0</v>
      </c>
      <c r="N120" s="16">
        <v>0</v>
      </c>
      <c r="O120" s="16">
        <v>345</v>
      </c>
      <c r="P120" s="16">
        <v>0</v>
      </c>
      <c r="Q120" s="16">
        <v>22.5</v>
      </c>
      <c r="R120" s="16">
        <v>0</v>
      </c>
      <c r="S120" s="16">
        <v>0</v>
      </c>
      <c r="T120" s="16">
        <v>0</v>
      </c>
      <c r="U120" s="16">
        <v>0</v>
      </c>
      <c r="V120" s="16">
        <v>345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1983</v>
      </c>
      <c r="AE120" s="16">
        <v>1983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-2403</v>
      </c>
      <c r="AN120" s="16">
        <v>0</v>
      </c>
      <c r="AO120" s="16">
        <v>-2403</v>
      </c>
      <c r="AP120" s="16">
        <v>2403</v>
      </c>
      <c r="AQ120" s="5" t="s">
        <v>159</v>
      </c>
    </row>
    <row r="121" spans="1:43" x14ac:dyDescent="0.3">
      <c r="A121" s="9" t="s">
        <v>267</v>
      </c>
      <c r="B121" s="11" t="s">
        <v>266</v>
      </c>
      <c r="C121" s="16">
        <v>0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120</v>
      </c>
      <c r="P121" s="16">
        <v>0</v>
      </c>
      <c r="Q121" s="16">
        <v>1.5</v>
      </c>
      <c r="R121" s="16">
        <v>0</v>
      </c>
      <c r="S121" s="16">
        <v>0</v>
      </c>
      <c r="T121" s="16">
        <v>0</v>
      </c>
      <c r="U121" s="16">
        <v>0</v>
      </c>
      <c r="V121" s="16">
        <v>120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-13598</v>
      </c>
      <c r="AK121" s="16">
        <v>0</v>
      </c>
      <c r="AL121" s="16">
        <v>0</v>
      </c>
      <c r="AM121" s="16">
        <v>-4005</v>
      </c>
      <c r="AN121" s="16">
        <v>0</v>
      </c>
      <c r="AO121" s="16">
        <v>-17603</v>
      </c>
      <c r="AP121" s="16">
        <v>17603</v>
      </c>
      <c r="AQ121" s="5" t="s">
        <v>159</v>
      </c>
    </row>
    <row r="122" spans="1:43" x14ac:dyDescent="0.3">
      <c r="A122" s="9" t="s">
        <v>269</v>
      </c>
      <c r="B122" s="11" t="s">
        <v>268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-554</v>
      </c>
      <c r="P122" s="16">
        <v>0</v>
      </c>
      <c r="Q122" s="16">
        <v>-25</v>
      </c>
      <c r="R122" s="16">
        <v>0</v>
      </c>
      <c r="S122" s="16">
        <v>0</v>
      </c>
      <c r="T122" s="16">
        <v>0</v>
      </c>
      <c r="U122" s="16">
        <v>0</v>
      </c>
      <c r="V122" s="16">
        <v>-554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-2403</v>
      </c>
      <c r="AN122" s="16">
        <v>0</v>
      </c>
      <c r="AO122" s="16">
        <v>-2403</v>
      </c>
      <c r="AP122" s="16">
        <v>2403</v>
      </c>
      <c r="AQ122" s="5" t="s">
        <v>159</v>
      </c>
    </row>
    <row r="123" spans="1:43" x14ac:dyDescent="0.3">
      <c r="A123" s="9" t="s">
        <v>271</v>
      </c>
      <c r="B123" s="11" t="s">
        <v>270</v>
      </c>
      <c r="C123" s="16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80</v>
      </c>
      <c r="P123" s="16">
        <v>0</v>
      </c>
      <c r="Q123" s="16">
        <v>5</v>
      </c>
      <c r="R123" s="16">
        <v>0</v>
      </c>
      <c r="S123" s="16">
        <v>0</v>
      </c>
      <c r="T123" s="16">
        <v>0</v>
      </c>
      <c r="U123" s="16">
        <v>0</v>
      </c>
      <c r="V123" s="16">
        <v>80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-2403</v>
      </c>
      <c r="AN123" s="16">
        <v>0</v>
      </c>
      <c r="AO123" s="16">
        <v>-2403</v>
      </c>
      <c r="AP123" s="16">
        <v>2403</v>
      </c>
      <c r="AQ123" s="5" t="s">
        <v>159</v>
      </c>
    </row>
    <row r="124" spans="1:43" x14ac:dyDescent="0.3">
      <c r="A124" s="9" t="s">
        <v>273</v>
      </c>
      <c r="B124" s="11" t="s">
        <v>272</v>
      </c>
      <c r="C124" s="16">
        <v>0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26</v>
      </c>
      <c r="P124" s="16">
        <v>0</v>
      </c>
      <c r="Q124" s="16">
        <v>0.5</v>
      </c>
      <c r="R124" s="16">
        <v>0</v>
      </c>
      <c r="S124" s="16">
        <v>0</v>
      </c>
      <c r="T124" s="16">
        <v>0</v>
      </c>
      <c r="U124" s="16">
        <v>0</v>
      </c>
      <c r="V124" s="16">
        <v>26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500</v>
      </c>
      <c r="AC124" s="16">
        <v>0</v>
      </c>
      <c r="AD124" s="16">
        <v>500</v>
      </c>
      <c r="AE124" s="16">
        <v>500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-4005</v>
      </c>
      <c r="AN124" s="16">
        <v>0</v>
      </c>
      <c r="AO124" s="16">
        <v>-4005</v>
      </c>
      <c r="AP124" s="16">
        <v>4005</v>
      </c>
      <c r="AQ124" s="5" t="s">
        <v>159</v>
      </c>
    </row>
    <row r="125" spans="1:43" x14ac:dyDescent="0.3">
      <c r="A125" s="9" t="s">
        <v>275</v>
      </c>
      <c r="B125" s="11" t="s">
        <v>274</v>
      </c>
      <c r="C125" s="16">
        <v>-2819</v>
      </c>
      <c r="D125" s="16">
        <v>-1537</v>
      </c>
      <c r="E125" s="16">
        <v>-256</v>
      </c>
      <c r="F125" s="16">
        <v>-358</v>
      </c>
      <c r="G125" s="16">
        <v>-153</v>
      </c>
      <c r="H125" s="16">
        <v>0</v>
      </c>
      <c r="I125" s="16">
        <v>-384.62</v>
      </c>
      <c r="J125" s="16">
        <v>-2221</v>
      </c>
      <c r="K125" s="16">
        <v>0</v>
      </c>
      <c r="L125" s="16">
        <v>-28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-2606</v>
      </c>
      <c r="AE125" s="16">
        <v>-2606</v>
      </c>
      <c r="AF125" s="16">
        <v>-5123</v>
      </c>
      <c r="AG125" s="16">
        <v>0</v>
      </c>
      <c r="AH125" s="16">
        <v>0</v>
      </c>
      <c r="AI125" s="16">
        <v>0</v>
      </c>
      <c r="AJ125" s="16">
        <v>0</v>
      </c>
      <c r="AK125" s="16">
        <v>-205</v>
      </c>
      <c r="AL125" s="16">
        <v>0</v>
      </c>
      <c r="AM125" s="16">
        <v>0</v>
      </c>
      <c r="AN125" s="16">
        <v>0</v>
      </c>
      <c r="AO125" s="16">
        <v>-205</v>
      </c>
      <c r="AP125" s="16">
        <v>-4918</v>
      </c>
      <c r="AQ125" s="5" t="s">
        <v>159</v>
      </c>
    </row>
    <row r="126" spans="1:43" x14ac:dyDescent="0.3">
      <c r="A126" s="9" t="s">
        <v>277</v>
      </c>
      <c r="B126" s="11" t="s">
        <v>276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1000</v>
      </c>
      <c r="I126" s="16">
        <v>-499.92</v>
      </c>
      <c r="J126" s="16">
        <v>2145</v>
      </c>
      <c r="K126" s="16">
        <v>0</v>
      </c>
      <c r="L126" s="16">
        <v>23.5</v>
      </c>
      <c r="M126" s="16">
        <v>0</v>
      </c>
      <c r="N126" s="16">
        <v>500</v>
      </c>
      <c r="O126" s="16">
        <v>49</v>
      </c>
      <c r="P126" s="16">
        <v>500</v>
      </c>
      <c r="Q126" s="16">
        <v>5</v>
      </c>
      <c r="R126" s="16">
        <v>28</v>
      </c>
      <c r="S126" s="16">
        <v>118</v>
      </c>
      <c r="T126" s="16">
        <v>0</v>
      </c>
      <c r="U126" s="16">
        <v>2</v>
      </c>
      <c r="V126" s="16">
        <v>49</v>
      </c>
      <c r="W126" s="16">
        <v>0</v>
      </c>
      <c r="X126" s="16">
        <v>1000</v>
      </c>
      <c r="Y126" s="16">
        <v>7.5</v>
      </c>
      <c r="Z126" s="16">
        <v>32.5</v>
      </c>
      <c r="AA126" s="16">
        <v>967.5</v>
      </c>
      <c r="AB126" s="16">
        <v>0</v>
      </c>
      <c r="AC126" s="16">
        <v>0</v>
      </c>
      <c r="AD126" s="16">
        <v>3645</v>
      </c>
      <c r="AE126" s="16">
        <v>3617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5" t="s">
        <v>159</v>
      </c>
    </row>
    <row r="127" spans="1:43" x14ac:dyDescent="0.3">
      <c r="A127" s="9" t="s">
        <v>279</v>
      </c>
      <c r="B127" s="11" t="s">
        <v>278</v>
      </c>
      <c r="C127" s="16">
        <v>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2233</v>
      </c>
      <c r="K127" s="16">
        <v>0</v>
      </c>
      <c r="L127" s="16">
        <v>12</v>
      </c>
      <c r="M127" s="16">
        <v>0</v>
      </c>
      <c r="N127" s="16">
        <v>0</v>
      </c>
      <c r="O127" s="16">
        <v>48</v>
      </c>
      <c r="P127" s="16">
        <v>0</v>
      </c>
      <c r="Q127" s="16">
        <v>2</v>
      </c>
      <c r="R127" s="16">
        <v>0</v>
      </c>
      <c r="S127" s="16">
        <v>0</v>
      </c>
      <c r="T127" s="16">
        <v>0</v>
      </c>
      <c r="U127" s="16">
        <v>0</v>
      </c>
      <c r="V127" s="16">
        <v>48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2233</v>
      </c>
      <c r="AE127" s="16">
        <v>2233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-1602</v>
      </c>
      <c r="AN127" s="16">
        <v>0</v>
      </c>
      <c r="AO127" s="16">
        <v>-1602</v>
      </c>
      <c r="AP127" s="16">
        <v>1602</v>
      </c>
      <c r="AQ127" s="5" t="s">
        <v>159</v>
      </c>
    </row>
    <row r="128" spans="1:43" x14ac:dyDescent="0.3">
      <c r="A128" s="9" t="s">
        <v>281</v>
      </c>
      <c r="B128" s="11" t="s">
        <v>280</v>
      </c>
      <c r="C128" s="16">
        <v>779</v>
      </c>
      <c r="D128" s="16">
        <v>425</v>
      </c>
      <c r="E128" s="16">
        <v>71</v>
      </c>
      <c r="F128" s="16">
        <v>100</v>
      </c>
      <c r="G128" s="16">
        <v>42</v>
      </c>
      <c r="H128" s="16">
        <v>0</v>
      </c>
      <c r="I128" s="16">
        <v>0</v>
      </c>
      <c r="J128" s="16">
        <v>3462</v>
      </c>
      <c r="K128" s="16">
        <v>0</v>
      </c>
      <c r="L128" s="16">
        <v>33</v>
      </c>
      <c r="M128" s="16">
        <v>0</v>
      </c>
      <c r="N128" s="16">
        <v>0</v>
      </c>
      <c r="O128" s="16">
        <v>200</v>
      </c>
      <c r="P128" s="16">
        <v>0</v>
      </c>
      <c r="Q128" s="16">
        <v>10</v>
      </c>
      <c r="R128" s="16">
        <v>0</v>
      </c>
      <c r="S128" s="16">
        <v>0</v>
      </c>
      <c r="T128" s="16">
        <v>0</v>
      </c>
      <c r="U128" s="16">
        <v>0</v>
      </c>
      <c r="V128" s="16">
        <v>200</v>
      </c>
      <c r="W128" s="16">
        <v>992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314</v>
      </c>
      <c r="AD128" s="16">
        <v>3462</v>
      </c>
      <c r="AE128" s="16">
        <v>3462</v>
      </c>
      <c r="AF128" s="16">
        <v>1731</v>
      </c>
      <c r="AG128" s="16">
        <v>119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-1602</v>
      </c>
      <c r="AN128" s="16">
        <v>0</v>
      </c>
      <c r="AO128" s="16">
        <v>-1483</v>
      </c>
      <c r="AP128" s="16">
        <v>3214</v>
      </c>
      <c r="AQ128" s="5" t="s">
        <v>159</v>
      </c>
    </row>
    <row r="129" spans="1:43" x14ac:dyDescent="0.3">
      <c r="A129" s="9" t="s">
        <v>283</v>
      </c>
      <c r="B129" s="11" t="s">
        <v>282</v>
      </c>
      <c r="C129" s="16">
        <v>-1141</v>
      </c>
      <c r="D129" s="16">
        <v>-623</v>
      </c>
      <c r="E129" s="16">
        <v>-103</v>
      </c>
      <c r="F129" s="16">
        <v>-145</v>
      </c>
      <c r="G129" s="16">
        <v>-62</v>
      </c>
      <c r="H129" s="16">
        <v>0</v>
      </c>
      <c r="I129" s="16">
        <v>-422.77</v>
      </c>
      <c r="J129" s="16">
        <v>-952</v>
      </c>
      <c r="K129" s="16">
        <v>-2522</v>
      </c>
      <c r="L129" s="16">
        <v>-12</v>
      </c>
      <c r="M129" s="16">
        <v>0</v>
      </c>
      <c r="N129" s="16">
        <v>0</v>
      </c>
      <c r="O129" s="16">
        <v>-61</v>
      </c>
      <c r="P129" s="16">
        <v>0</v>
      </c>
      <c r="Q129" s="16">
        <v>15</v>
      </c>
      <c r="R129" s="16">
        <v>-10</v>
      </c>
      <c r="S129" s="16">
        <v>-45</v>
      </c>
      <c r="T129" s="16">
        <v>0</v>
      </c>
      <c r="U129" s="16">
        <v>-2</v>
      </c>
      <c r="V129" s="16">
        <v>-61</v>
      </c>
      <c r="W129" s="16">
        <v>-1451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-448</v>
      </c>
      <c r="AD129" s="16">
        <v>-1375</v>
      </c>
      <c r="AE129" s="16">
        <v>-1365</v>
      </c>
      <c r="AF129" s="16">
        <v>-2522</v>
      </c>
      <c r="AG129" s="16">
        <v>-174</v>
      </c>
      <c r="AH129" s="16">
        <v>-19</v>
      </c>
      <c r="AI129" s="16">
        <v>-83</v>
      </c>
      <c r="AJ129" s="16">
        <v>0</v>
      </c>
      <c r="AK129" s="16">
        <v>-83</v>
      </c>
      <c r="AL129" s="16">
        <v>0</v>
      </c>
      <c r="AM129" s="16">
        <v>0</v>
      </c>
      <c r="AN129" s="16">
        <v>0</v>
      </c>
      <c r="AO129" s="16">
        <v>-359</v>
      </c>
      <c r="AP129" s="16">
        <v>-2163</v>
      </c>
      <c r="AQ129" s="5" t="s">
        <v>159</v>
      </c>
    </row>
    <row r="130" spans="1:43" x14ac:dyDescent="0.3">
      <c r="A130" s="9" t="s">
        <v>285</v>
      </c>
      <c r="B130" s="11" t="s">
        <v>284</v>
      </c>
      <c r="C130" s="16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2458</v>
      </c>
      <c r="K130" s="16">
        <v>0</v>
      </c>
      <c r="L130" s="16">
        <v>22</v>
      </c>
      <c r="M130" s="16">
        <v>0</v>
      </c>
      <c r="N130" s="16">
        <v>1000</v>
      </c>
      <c r="O130" s="16">
        <v>-431</v>
      </c>
      <c r="P130" s="16">
        <v>0</v>
      </c>
      <c r="Q130" s="16">
        <v>-32.5</v>
      </c>
      <c r="R130" s="16">
        <v>0</v>
      </c>
      <c r="S130" s="16">
        <v>0</v>
      </c>
      <c r="T130" s="16">
        <v>0</v>
      </c>
      <c r="U130" s="16">
        <v>0</v>
      </c>
      <c r="V130" s="16">
        <v>-431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3458</v>
      </c>
      <c r="AE130" s="16">
        <v>3458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-3204</v>
      </c>
      <c r="AN130" s="16">
        <v>0</v>
      </c>
      <c r="AO130" s="16">
        <v>-3204</v>
      </c>
      <c r="AP130" s="16">
        <v>3204</v>
      </c>
      <c r="AQ130" s="5" t="s">
        <v>159</v>
      </c>
    </row>
    <row r="131" spans="1:43" x14ac:dyDescent="0.3">
      <c r="A131" s="9" t="s">
        <v>287</v>
      </c>
      <c r="B131" s="11" t="s">
        <v>286</v>
      </c>
      <c r="C131" s="16">
        <v>1305</v>
      </c>
      <c r="D131" s="16">
        <v>711</v>
      </c>
      <c r="E131" s="16">
        <v>119</v>
      </c>
      <c r="F131" s="16">
        <v>166</v>
      </c>
      <c r="G131" s="16">
        <v>71</v>
      </c>
      <c r="H131" s="16">
        <v>0</v>
      </c>
      <c r="I131" s="16">
        <v>115.38</v>
      </c>
      <c r="J131" s="16">
        <v>908</v>
      </c>
      <c r="K131" s="16">
        <v>0</v>
      </c>
      <c r="L131" s="16">
        <v>8</v>
      </c>
      <c r="M131" s="16">
        <v>0</v>
      </c>
      <c r="N131" s="16">
        <v>0</v>
      </c>
      <c r="O131" s="16">
        <v>248</v>
      </c>
      <c r="P131" s="16">
        <v>0</v>
      </c>
      <c r="Q131" s="16">
        <v>10</v>
      </c>
      <c r="R131" s="16">
        <v>0</v>
      </c>
      <c r="S131" s="16">
        <v>0</v>
      </c>
      <c r="T131" s="16">
        <v>0</v>
      </c>
      <c r="U131" s="16">
        <v>0</v>
      </c>
      <c r="V131" s="16">
        <v>248</v>
      </c>
      <c r="W131" s="16">
        <v>1661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503</v>
      </c>
      <c r="AD131" s="16">
        <v>1023</v>
      </c>
      <c r="AE131" s="16">
        <v>1023</v>
      </c>
      <c r="AF131" s="16">
        <v>2875</v>
      </c>
      <c r="AG131" s="16">
        <v>200</v>
      </c>
      <c r="AH131" s="16">
        <v>0</v>
      </c>
      <c r="AI131" s="16">
        <v>0</v>
      </c>
      <c r="AJ131" s="16">
        <v>0</v>
      </c>
      <c r="AK131" s="16">
        <v>67</v>
      </c>
      <c r="AL131" s="16">
        <v>0</v>
      </c>
      <c r="AM131" s="16">
        <v>0</v>
      </c>
      <c r="AN131" s="16">
        <v>0</v>
      </c>
      <c r="AO131" s="16">
        <v>267</v>
      </c>
      <c r="AP131" s="16">
        <v>2608</v>
      </c>
      <c r="AQ131" s="5" t="s">
        <v>159</v>
      </c>
    </row>
    <row r="132" spans="1:43" x14ac:dyDescent="0.3">
      <c r="A132" s="9" t="s">
        <v>289</v>
      </c>
      <c r="B132" s="11" t="s">
        <v>288</v>
      </c>
      <c r="C132" s="16">
        <v>-696</v>
      </c>
      <c r="D132" s="16">
        <v>-380</v>
      </c>
      <c r="E132" s="16">
        <v>-64</v>
      </c>
      <c r="F132" s="16">
        <v>-89</v>
      </c>
      <c r="G132" s="16">
        <v>-38</v>
      </c>
      <c r="H132" s="16">
        <v>-1000</v>
      </c>
      <c r="I132" s="16">
        <v>-702.31</v>
      </c>
      <c r="J132" s="16">
        <v>-2592</v>
      </c>
      <c r="K132" s="16">
        <v>0</v>
      </c>
      <c r="L132" s="16">
        <v>-25</v>
      </c>
      <c r="M132" s="16">
        <v>0</v>
      </c>
      <c r="N132" s="16">
        <v>0</v>
      </c>
      <c r="O132" s="16">
        <v>45</v>
      </c>
      <c r="P132" s="16">
        <v>-500</v>
      </c>
      <c r="Q132" s="16">
        <v>10</v>
      </c>
      <c r="R132" s="16">
        <v>0</v>
      </c>
      <c r="S132" s="16">
        <v>0</v>
      </c>
      <c r="T132" s="16">
        <v>0</v>
      </c>
      <c r="U132" s="16">
        <v>0</v>
      </c>
      <c r="V132" s="16">
        <v>45</v>
      </c>
      <c r="W132" s="16">
        <v>-887</v>
      </c>
      <c r="X132" s="16">
        <v>-500</v>
      </c>
      <c r="Y132" s="16">
        <v>-3.75</v>
      </c>
      <c r="Z132" s="16">
        <v>-16.25</v>
      </c>
      <c r="AA132" s="16">
        <v>-483.75</v>
      </c>
      <c r="AB132" s="16">
        <v>0</v>
      </c>
      <c r="AC132" s="16">
        <v>-153</v>
      </c>
      <c r="AD132" s="16">
        <v>-4794</v>
      </c>
      <c r="AE132" s="16">
        <v>-4794</v>
      </c>
      <c r="AF132" s="16">
        <v>-1420</v>
      </c>
      <c r="AG132" s="16">
        <v>-106</v>
      </c>
      <c r="AH132" s="16">
        <v>0</v>
      </c>
      <c r="AI132" s="16">
        <v>0</v>
      </c>
      <c r="AJ132" s="16">
        <v>0</v>
      </c>
      <c r="AK132" s="16">
        <v>-39</v>
      </c>
      <c r="AL132" s="16">
        <v>0</v>
      </c>
      <c r="AM132" s="16">
        <v>-801</v>
      </c>
      <c r="AN132" s="16">
        <v>0</v>
      </c>
      <c r="AO132" s="16">
        <v>-946</v>
      </c>
      <c r="AP132" s="16">
        <v>-474</v>
      </c>
      <c r="AQ132" s="5" t="s">
        <v>159</v>
      </c>
    </row>
    <row r="133" spans="1:43" x14ac:dyDescent="0.3">
      <c r="A133" s="9" t="s">
        <v>291</v>
      </c>
      <c r="B133" s="11" t="s">
        <v>290</v>
      </c>
      <c r="C133" s="16">
        <v>840</v>
      </c>
      <c r="D133" s="16">
        <v>458</v>
      </c>
      <c r="E133" s="16">
        <v>76</v>
      </c>
      <c r="F133" s="16">
        <v>107</v>
      </c>
      <c r="G133" s="16">
        <v>46</v>
      </c>
      <c r="H133" s="16">
        <v>0</v>
      </c>
      <c r="I133" s="16">
        <v>77.38</v>
      </c>
      <c r="J133" s="16">
        <v>1206</v>
      </c>
      <c r="K133" s="16">
        <v>0</v>
      </c>
      <c r="L133" s="16">
        <v>8</v>
      </c>
      <c r="M133" s="16">
        <v>0</v>
      </c>
      <c r="N133" s="16">
        <v>0</v>
      </c>
      <c r="O133" s="16">
        <v>263</v>
      </c>
      <c r="P133" s="16">
        <v>0</v>
      </c>
      <c r="Q133" s="16">
        <v>10</v>
      </c>
      <c r="R133" s="16">
        <v>0</v>
      </c>
      <c r="S133" s="16">
        <v>0</v>
      </c>
      <c r="T133" s="16">
        <v>0</v>
      </c>
      <c r="U133" s="16">
        <v>0</v>
      </c>
      <c r="V133" s="16">
        <v>263</v>
      </c>
      <c r="W133" s="16">
        <v>1068.75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308</v>
      </c>
      <c r="AD133" s="16">
        <v>1283</v>
      </c>
      <c r="AE133" s="16">
        <v>1283</v>
      </c>
      <c r="AF133" s="16">
        <v>1835</v>
      </c>
      <c r="AG133" s="16">
        <v>128</v>
      </c>
      <c r="AH133" s="16">
        <v>0</v>
      </c>
      <c r="AI133" s="16">
        <v>0</v>
      </c>
      <c r="AJ133" s="16">
        <v>0</v>
      </c>
      <c r="AK133" s="16">
        <v>32</v>
      </c>
      <c r="AL133" s="16">
        <v>0</v>
      </c>
      <c r="AM133" s="16">
        <v>-1602</v>
      </c>
      <c r="AN133" s="16">
        <v>0</v>
      </c>
      <c r="AO133" s="16">
        <v>-1442</v>
      </c>
      <c r="AP133" s="16">
        <v>3277</v>
      </c>
      <c r="AQ133" s="5" t="s">
        <v>159</v>
      </c>
    </row>
    <row r="134" spans="1:43" x14ac:dyDescent="0.3">
      <c r="A134" s="9" t="s">
        <v>293</v>
      </c>
      <c r="B134" s="11" t="s">
        <v>292</v>
      </c>
      <c r="C134" s="16">
        <v>495</v>
      </c>
      <c r="D134" s="16">
        <v>270</v>
      </c>
      <c r="E134" s="16">
        <v>45</v>
      </c>
      <c r="F134" s="16">
        <v>63</v>
      </c>
      <c r="G134" s="16">
        <v>27</v>
      </c>
      <c r="H134" s="16">
        <v>0</v>
      </c>
      <c r="I134" s="16">
        <v>0</v>
      </c>
      <c r="J134" s="16">
        <v>11203</v>
      </c>
      <c r="K134" s="16">
        <v>0</v>
      </c>
      <c r="L134" s="16">
        <v>84</v>
      </c>
      <c r="M134" s="16">
        <v>0</v>
      </c>
      <c r="N134" s="16">
        <v>1000</v>
      </c>
      <c r="O134" s="16">
        <v>50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50</v>
      </c>
      <c r="W134" s="16">
        <v>630.46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292</v>
      </c>
      <c r="AD134" s="16">
        <v>12203</v>
      </c>
      <c r="AE134" s="16">
        <v>12203</v>
      </c>
      <c r="AF134" s="16">
        <v>1192</v>
      </c>
      <c r="AG134" s="16">
        <v>75</v>
      </c>
      <c r="AH134" s="16">
        <v>0</v>
      </c>
      <c r="AI134" s="16">
        <v>0</v>
      </c>
      <c r="AJ134" s="16">
        <v>0</v>
      </c>
      <c r="AK134" s="16">
        <v>21</v>
      </c>
      <c r="AL134" s="16">
        <v>0</v>
      </c>
      <c r="AM134" s="16">
        <v>-2403</v>
      </c>
      <c r="AN134" s="16">
        <v>0</v>
      </c>
      <c r="AO134" s="16">
        <v>-2307</v>
      </c>
      <c r="AP134" s="16">
        <v>3499</v>
      </c>
      <c r="AQ134" s="5" t="s">
        <v>159</v>
      </c>
    </row>
    <row r="135" spans="1:43" x14ac:dyDescent="0.3">
      <c r="A135" s="9" t="s">
        <v>295</v>
      </c>
      <c r="B135" s="11" t="s">
        <v>294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77</v>
      </c>
      <c r="J135" s="16">
        <v>-1108</v>
      </c>
      <c r="K135" s="16">
        <v>0</v>
      </c>
      <c r="L135" s="16">
        <v>-8</v>
      </c>
      <c r="M135" s="16">
        <v>0</v>
      </c>
      <c r="N135" s="16">
        <v>0</v>
      </c>
      <c r="O135" s="16">
        <v>170</v>
      </c>
      <c r="P135" s="16">
        <v>0</v>
      </c>
      <c r="Q135" s="16">
        <v>10</v>
      </c>
      <c r="R135" s="16">
        <v>0</v>
      </c>
      <c r="S135" s="16">
        <v>0</v>
      </c>
      <c r="T135" s="16">
        <v>0</v>
      </c>
      <c r="U135" s="16">
        <v>0</v>
      </c>
      <c r="V135" s="16">
        <v>170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-1031</v>
      </c>
      <c r="AE135" s="16">
        <v>-1031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-801</v>
      </c>
      <c r="AN135" s="16">
        <v>0</v>
      </c>
      <c r="AO135" s="16">
        <v>-801</v>
      </c>
      <c r="AP135" s="16">
        <v>801</v>
      </c>
      <c r="AQ135" s="5" t="s">
        <v>159</v>
      </c>
    </row>
    <row r="136" spans="1:43" x14ac:dyDescent="0.3">
      <c r="A136" s="9" t="s">
        <v>297</v>
      </c>
      <c r="B136" s="11" t="s">
        <v>296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64</v>
      </c>
      <c r="P136" s="16">
        <v>0</v>
      </c>
      <c r="Q136" s="16">
        <v>2</v>
      </c>
      <c r="R136" s="16">
        <v>0</v>
      </c>
      <c r="S136" s="16">
        <v>0</v>
      </c>
      <c r="T136" s="16">
        <v>0</v>
      </c>
      <c r="U136" s="16">
        <v>0</v>
      </c>
      <c r="V136" s="16">
        <v>64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-1602</v>
      </c>
      <c r="AN136" s="16">
        <v>0</v>
      </c>
      <c r="AO136" s="16">
        <v>-1602</v>
      </c>
      <c r="AP136" s="16">
        <v>1602</v>
      </c>
      <c r="AQ136" s="5" t="s">
        <v>159</v>
      </c>
    </row>
    <row r="137" spans="1:43" x14ac:dyDescent="0.3">
      <c r="A137" s="9" t="s">
        <v>299</v>
      </c>
      <c r="B137" s="11" t="s">
        <v>298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9</v>
      </c>
      <c r="P137" s="16">
        <v>0</v>
      </c>
      <c r="Q137" s="16">
        <v>0.5</v>
      </c>
      <c r="R137" s="16">
        <v>0</v>
      </c>
      <c r="S137" s="16">
        <v>0</v>
      </c>
      <c r="T137" s="16">
        <v>0</v>
      </c>
      <c r="U137" s="16">
        <v>0</v>
      </c>
      <c r="V137" s="16">
        <v>9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-2403</v>
      </c>
      <c r="AN137" s="16">
        <v>0</v>
      </c>
      <c r="AO137" s="16">
        <v>-2403</v>
      </c>
      <c r="AP137" s="16">
        <v>2403</v>
      </c>
      <c r="AQ137" s="5" t="s">
        <v>159</v>
      </c>
    </row>
    <row r="138" spans="1:43" x14ac:dyDescent="0.3">
      <c r="A138" s="9" t="s">
        <v>301</v>
      </c>
      <c r="B138" s="11" t="s">
        <v>300</v>
      </c>
      <c r="C138" s="16">
        <v>-839</v>
      </c>
      <c r="D138" s="16">
        <v>-458</v>
      </c>
      <c r="E138" s="16">
        <v>-76</v>
      </c>
      <c r="F138" s="16">
        <v>-107</v>
      </c>
      <c r="G138" s="16">
        <v>-46</v>
      </c>
      <c r="H138" s="16">
        <v>0</v>
      </c>
      <c r="I138" s="16">
        <v>0</v>
      </c>
      <c r="J138" s="16">
        <v>5003</v>
      </c>
      <c r="K138" s="16">
        <v>0</v>
      </c>
      <c r="L138" s="16">
        <v>20</v>
      </c>
      <c r="M138" s="16">
        <v>0</v>
      </c>
      <c r="N138" s="16">
        <v>0</v>
      </c>
      <c r="O138" s="16">
        <v>105</v>
      </c>
      <c r="P138" s="16">
        <v>0</v>
      </c>
      <c r="Q138" s="16">
        <v>7</v>
      </c>
      <c r="R138" s="16">
        <v>0</v>
      </c>
      <c r="S138" s="16">
        <v>0</v>
      </c>
      <c r="T138" s="16">
        <v>0</v>
      </c>
      <c r="U138" s="16">
        <v>0</v>
      </c>
      <c r="V138" s="16">
        <v>105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-69</v>
      </c>
      <c r="AD138" s="16">
        <v>5003</v>
      </c>
      <c r="AE138" s="16">
        <v>5003</v>
      </c>
      <c r="AF138" s="16">
        <v>-1595</v>
      </c>
      <c r="AG138" s="16">
        <v>0</v>
      </c>
      <c r="AH138" s="16">
        <v>0</v>
      </c>
      <c r="AI138" s="16">
        <v>0</v>
      </c>
      <c r="AJ138" s="16">
        <v>0</v>
      </c>
      <c r="AK138" s="16">
        <v>-19</v>
      </c>
      <c r="AL138" s="16">
        <v>0</v>
      </c>
      <c r="AM138" s="16">
        <v>-2403</v>
      </c>
      <c r="AN138" s="16">
        <v>0</v>
      </c>
      <c r="AO138" s="16">
        <v>-2422</v>
      </c>
      <c r="AP138" s="16">
        <v>827</v>
      </c>
      <c r="AQ138" s="5" t="s">
        <v>159</v>
      </c>
    </row>
    <row r="139" spans="1:43" x14ac:dyDescent="0.3">
      <c r="A139" s="9" t="s">
        <v>303</v>
      </c>
      <c r="B139" s="11" t="s">
        <v>302</v>
      </c>
      <c r="C139" s="16">
        <v>843</v>
      </c>
      <c r="D139" s="16">
        <v>460</v>
      </c>
      <c r="E139" s="16">
        <v>77</v>
      </c>
      <c r="F139" s="16">
        <v>108</v>
      </c>
      <c r="G139" s="16">
        <v>46</v>
      </c>
      <c r="H139" s="16">
        <v>0</v>
      </c>
      <c r="I139" s="16">
        <v>385.08</v>
      </c>
      <c r="J139" s="16">
        <v>907</v>
      </c>
      <c r="K139" s="16">
        <v>0</v>
      </c>
      <c r="L139" s="16">
        <v>8</v>
      </c>
      <c r="M139" s="16">
        <v>0</v>
      </c>
      <c r="N139" s="16">
        <v>0</v>
      </c>
      <c r="O139" s="16">
        <v>155</v>
      </c>
      <c r="P139" s="16">
        <v>0</v>
      </c>
      <c r="Q139" s="16">
        <v>7.5</v>
      </c>
      <c r="R139" s="16">
        <v>0</v>
      </c>
      <c r="S139" s="16">
        <v>0</v>
      </c>
      <c r="T139" s="16">
        <v>0</v>
      </c>
      <c r="U139" s="16">
        <v>0</v>
      </c>
      <c r="V139" s="16">
        <v>155</v>
      </c>
      <c r="W139" s="16">
        <v>1057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83</v>
      </c>
      <c r="AD139" s="16">
        <v>1292</v>
      </c>
      <c r="AE139" s="16">
        <v>1292</v>
      </c>
      <c r="AF139" s="16">
        <v>1617</v>
      </c>
      <c r="AG139" s="16">
        <v>127</v>
      </c>
      <c r="AH139" s="16">
        <v>0</v>
      </c>
      <c r="AI139" s="16">
        <v>0</v>
      </c>
      <c r="AJ139" s="16">
        <v>0</v>
      </c>
      <c r="AK139" s="16">
        <v>43</v>
      </c>
      <c r="AL139" s="16">
        <v>0</v>
      </c>
      <c r="AM139" s="16">
        <v>-801</v>
      </c>
      <c r="AN139" s="16">
        <v>0</v>
      </c>
      <c r="AO139" s="16">
        <v>-631</v>
      </c>
      <c r="AP139" s="16">
        <v>2248</v>
      </c>
      <c r="AQ139" s="5" t="s">
        <v>159</v>
      </c>
    </row>
    <row r="140" spans="1:43" x14ac:dyDescent="0.3">
      <c r="A140" s="9" t="s">
        <v>305</v>
      </c>
      <c r="B140" s="11" t="s">
        <v>304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-1095</v>
      </c>
      <c r="K140" s="16">
        <v>0</v>
      </c>
      <c r="L140" s="16">
        <v>-8</v>
      </c>
      <c r="M140" s="16">
        <v>0</v>
      </c>
      <c r="N140" s="16">
        <v>0</v>
      </c>
      <c r="O140" s="16">
        <v>168</v>
      </c>
      <c r="P140" s="16">
        <v>0</v>
      </c>
      <c r="Q140" s="16">
        <v>10</v>
      </c>
      <c r="R140" s="16">
        <v>0</v>
      </c>
      <c r="S140" s="16">
        <v>0</v>
      </c>
      <c r="T140" s="16">
        <v>0</v>
      </c>
      <c r="U140" s="16">
        <v>0</v>
      </c>
      <c r="V140" s="16">
        <v>168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-1095</v>
      </c>
      <c r="AE140" s="16">
        <v>-1095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-2403</v>
      </c>
      <c r="AN140" s="16">
        <v>0</v>
      </c>
      <c r="AO140" s="16">
        <v>-2403</v>
      </c>
      <c r="AP140" s="16">
        <v>2403</v>
      </c>
      <c r="AQ140" s="5" t="s">
        <v>159</v>
      </c>
    </row>
    <row r="141" spans="1:43" x14ac:dyDescent="0.3">
      <c r="A141" s="9" t="s">
        <v>307</v>
      </c>
      <c r="B141" s="11" t="s">
        <v>306</v>
      </c>
      <c r="C141" s="16">
        <v>-2661</v>
      </c>
      <c r="D141" s="16">
        <v>-1452</v>
      </c>
      <c r="E141" s="16">
        <v>-242</v>
      </c>
      <c r="F141" s="16">
        <v>-339</v>
      </c>
      <c r="G141" s="16">
        <v>-145</v>
      </c>
      <c r="H141" s="16">
        <v>0</v>
      </c>
      <c r="I141" s="16">
        <v>0</v>
      </c>
      <c r="J141" s="16">
        <v>-4681</v>
      </c>
      <c r="K141" s="16">
        <v>0</v>
      </c>
      <c r="L141" s="16">
        <v>-29.5</v>
      </c>
      <c r="M141" s="16">
        <v>0</v>
      </c>
      <c r="N141" s="16">
        <v>0</v>
      </c>
      <c r="O141" s="16">
        <v>-230</v>
      </c>
      <c r="P141" s="16">
        <v>0</v>
      </c>
      <c r="Q141" s="16">
        <v>4</v>
      </c>
      <c r="R141" s="16">
        <v>0</v>
      </c>
      <c r="S141" s="16">
        <v>0</v>
      </c>
      <c r="T141" s="16">
        <v>0</v>
      </c>
      <c r="U141" s="16">
        <v>0</v>
      </c>
      <c r="V141" s="16">
        <v>-230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-2048</v>
      </c>
      <c r="AD141" s="16">
        <v>-4681</v>
      </c>
      <c r="AE141" s="16">
        <v>-4681</v>
      </c>
      <c r="AF141" s="16">
        <v>-6887</v>
      </c>
      <c r="AG141" s="16">
        <v>0</v>
      </c>
      <c r="AH141" s="16">
        <v>0</v>
      </c>
      <c r="AI141" s="16">
        <v>0</v>
      </c>
      <c r="AJ141" s="16">
        <v>0</v>
      </c>
      <c r="AK141" s="16">
        <v>-97</v>
      </c>
      <c r="AL141" s="16">
        <v>0</v>
      </c>
      <c r="AM141" s="16">
        <v>0</v>
      </c>
      <c r="AN141" s="16">
        <v>0</v>
      </c>
      <c r="AO141" s="16">
        <v>-97</v>
      </c>
      <c r="AP141" s="16">
        <v>-6790</v>
      </c>
      <c r="AQ141" s="5" t="s">
        <v>159</v>
      </c>
    </row>
    <row r="142" spans="1:43" x14ac:dyDescent="0.3">
      <c r="A142" s="9" t="s">
        <v>309</v>
      </c>
      <c r="B142" s="11" t="s">
        <v>308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1000</v>
      </c>
      <c r="I142" s="16">
        <v>-259.45999999999998</v>
      </c>
      <c r="J142" s="16">
        <v>-454</v>
      </c>
      <c r="K142" s="16">
        <v>0</v>
      </c>
      <c r="L142" s="16">
        <v>-4</v>
      </c>
      <c r="M142" s="16">
        <v>0</v>
      </c>
      <c r="N142" s="16">
        <v>0</v>
      </c>
      <c r="O142" s="16">
        <v>110</v>
      </c>
      <c r="P142" s="16">
        <v>0</v>
      </c>
      <c r="Q142" s="16">
        <v>10</v>
      </c>
      <c r="R142" s="16">
        <v>0</v>
      </c>
      <c r="S142" s="16">
        <v>0</v>
      </c>
      <c r="T142" s="16">
        <v>0</v>
      </c>
      <c r="U142" s="16">
        <v>0</v>
      </c>
      <c r="V142" s="16">
        <v>110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287</v>
      </c>
      <c r="AE142" s="16">
        <v>287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-2403</v>
      </c>
      <c r="AN142" s="16">
        <v>0</v>
      </c>
      <c r="AO142" s="16">
        <v>-2403</v>
      </c>
      <c r="AP142" s="16">
        <v>2403</v>
      </c>
      <c r="AQ142" s="5" t="s">
        <v>159</v>
      </c>
    </row>
    <row r="143" spans="1:43" x14ac:dyDescent="0.3">
      <c r="A143" s="9" t="s">
        <v>311</v>
      </c>
      <c r="B143" s="11" t="s">
        <v>310</v>
      </c>
      <c r="C143" s="16">
        <v>-645</v>
      </c>
      <c r="D143" s="16">
        <v>-352</v>
      </c>
      <c r="E143" s="16">
        <v>-59</v>
      </c>
      <c r="F143" s="16">
        <v>-83</v>
      </c>
      <c r="G143" s="16">
        <v>-35</v>
      </c>
      <c r="H143" s="16">
        <v>-1000</v>
      </c>
      <c r="I143" s="16">
        <v>-423.15</v>
      </c>
      <c r="J143" s="16">
        <v>0</v>
      </c>
      <c r="K143" s="16">
        <v>-1283</v>
      </c>
      <c r="L143" s="16">
        <v>0</v>
      </c>
      <c r="M143" s="16">
        <v>0</v>
      </c>
      <c r="N143" s="16">
        <v>0</v>
      </c>
      <c r="O143" s="16">
        <v>-151</v>
      </c>
      <c r="P143" s="16">
        <v>0</v>
      </c>
      <c r="Q143" s="16">
        <v>-10</v>
      </c>
      <c r="R143" s="16">
        <v>-11</v>
      </c>
      <c r="S143" s="16">
        <v>-46</v>
      </c>
      <c r="T143" s="16">
        <v>-1</v>
      </c>
      <c r="U143" s="16">
        <v>-5</v>
      </c>
      <c r="V143" s="16">
        <v>-150</v>
      </c>
      <c r="W143" s="16">
        <v>-822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-109</v>
      </c>
      <c r="AD143" s="16">
        <v>-1423</v>
      </c>
      <c r="AE143" s="16">
        <v>-1412</v>
      </c>
      <c r="AF143" s="16">
        <v>-1283</v>
      </c>
      <c r="AG143" s="16">
        <v>-99</v>
      </c>
      <c r="AH143" s="16">
        <v>-9</v>
      </c>
      <c r="AI143" s="16">
        <v>0</v>
      </c>
      <c r="AJ143" s="16">
        <v>0</v>
      </c>
      <c r="AK143" s="16">
        <v>-39</v>
      </c>
      <c r="AL143" s="16">
        <v>0</v>
      </c>
      <c r="AM143" s="16">
        <v>0</v>
      </c>
      <c r="AN143" s="16">
        <v>0</v>
      </c>
      <c r="AO143" s="16">
        <v>-147</v>
      </c>
      <c r="AP143" s="16">
        <v>-1136</v>
      </c>
      <c r="AQ143" s="5" t="s">
        <v>159</v>
      </c>
    </row>
    <row r="144" spans="1:43" x14ac:dyDescent="0.3">
      <c r="A144" s="9" t="s">
        <v>313</v>
      </c>
      <c r="B144" s="11" t="s">
        <v>312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-93</v>
      </c>
      <c r="P144" s="16">
        <v>0</v>
      </c>
      <c r="Q144" s="16">
        <v>-4</v>
      </c>
      <c r="R144" s="16">
        <v>0</v>
      </c>
      <c r="S144" s="16">
        <v>0</v>
      </c>
      <c r="T144" s="16">
        <v>0</v>
      </c>
      <c r="U144" s="16">
        <v>0</v>
      </c>
      <c r="V144" s="16">
        <v>-93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-3204</v>
      </c>
      <c r="AN144" s="16">
        <v>0</v>
      </c>
      <c r="AO144" s="16">
        <v>-3204</v>
      </c>
      <c r="AP144" s="16">
        <v>3204</v>
      </c>
      <c r="AQ144" s="5" t="s">
        <v>159</v>
      </c>
    </row>
    <row r="145" spans="1:43" x14ac:dyDescent="0.3">
      <c r="A145" s="9" t="s">
        <v>315</v>
      </c>
      <c r="B145" s="11" t="s">
        <v>314</v>
      </c>
      <c r="C145" s="16">
        <v>0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-12</v>
      </c>
      <c r="P145" s="16">
        <v>0</v>
      </c>
      <c r="Q145" s="16">
        <v>-0.5</v>
      </c>
      <c r="R145" s="16">
        <v>0</v>
      </c>
      <c r="S145" s="16">
        <v>0</v>
      </c>
      <c r="T145" s="16">
        <v>0</v>
      </c>
      <c r="U145" s="16">
        <v>0</v>
      </c>
      <c r="V145" s="16">
        <v>-12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-801</v>
      </c>
      <c r="AN145" s="16">
        <v>0</v>
      </c>
      <c r="AO145" s="16">
        <v>-801</v>
      </c>
      <c r="AP145" s="16">
        <v>801</v>
      </c>
      <c r="AQ145" s="5" t="s">
        <v>159</v>
      </c>
    </row>
    <row r="146" spans="1:43" x14ac:dyDescent="0.3">
      <c r="A146" s="9" t="s">
        <v>317</v>
      </c>
      <c r="B146" s="11" t="s">
        <v>316</v>
      </c>
      <c r="C146" s="16">
        <v>-680</v>
      </c>
      <c r="D146" s="16">
        <v>-370</v>
      </c>
      <c r="E146" s="16">
        <v>-62</v>
      </c>
      <c r="F146" s="16">
        <v>-86</v>
      </c>
      <c r="G146" s="16">
        <v>-38</v>
      </c>
      <c r="H146" s="16">
        <v>0</v>
      </c>
      <c r="I146" s="16">
        <v>461.08</v>
      </c>
      <c r="J146" s="16">
        <v>454</v>
      </c>
      <c r="K146" s="16">
        <v>0</v>
      </c>
      <c r="L146" s="16">
        <v>4</v>
      </c>
      <c r="M146" s="16">
        <v>0</v>
      </c>
      <c r="N146" s="16">
        <v>0</v>
      </c>
      <c r="O146" s="16">
        <v>43</v>
      </c>
      <c r="P146" s="16">
        <v>0</v>
      </c>
      <c r="Q146" s="16">
        <v>10</v>
      </c>
      <c r="R146" s="16">
        <v>0</v>
      </c>
      <c r="S146" s="16">
        <v>0</v>
      </c>
      <c r="T146" s="16">
        <v>0</v>
      </c>
      <c r="U146" s="16">
        <v>0</v>
      </c>
      <c r="V146" s="16">
        <v>43</v>
      </c>
      <c r="W146" s="16">
        <v>-866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-67</v>
      </c>
      <c r="AD146" s="16">
        <v>915</v>
      </c>
      <c r="AE146" s="16">
        <v>915</v>
      </c>
      <c r="AF146" s="16">
        <v>-1303</v>
      </c>
      <c r="AG146" s="16">
        <v>-104</v>
      </c>
      <c r="AH146" s="16">
        <v>0</v>
      </c>
      <c r="AI146" s="16">
        <v>0</v>
      </c>
      <c r="AJ146" s="16">
        <v>0</v>
      </c>
      <c r="AK146" s="16">
        <v>-34</v>
      </c>
      <c r="AL146" s="16">
        <v>0</v>
      </c>
      <c r="AM146" s="16">
        <v>-2403</v>
      </c>
      <c r="AN146" s="16">
        <v>0</v>
      </c>
      <c r="AO146" s="16">
        <v>-2541</v>
      </c>
      <c r="AP146" s="16">
        <v>1238</v>
      </c>
      <c r="AQ146" s="5" t="s">
        <v>159</v>
      </c>
    </row>
    <row r="147" spans="1:43" x14ac:dyDescent="0.3">
      <c r="A147" s="9" t="s">
        <v>319</v>
      </c>
      <c r="B147" s="11" t="s">
        <v>318</v>
      </c>
      <c r="C147" s="16">
        <v>2455</v>
      </c>
      <c r="D147" s="16">
        <v>1339</v>
      </c>
      <c r="E147" s="16">
        <v>223</v>
      </c>
      <c r="F147" s="16">
        <v>312</v>
      </c>
      <c r="G147" s="16">
        <v>134</v>
      </c>
      <c r="H147" s="16">
        <v>1000</v>
      </c>
      <c r="I147" s="16">
        <v>-999.85</v>
      </c>
      <c r="J147" s="16">
        <v>-794</v>
      </c>
      <c r="K147" s="16">
        <v>0</v>
      </c>
      <c r="L147" s="16">
        <v>-6</v>
      </c>
      <c r="M147" s="16">
        <v>0</v>
      </c>
      <c r="N147" s="16">
        <v>0</v>
      </c>
      <c r="O147" s="16">
        <v>270</v>
      </c>
      <c r="P147" s="16">
        <v>0</v>
      </c>
      <c r="Q147" s="16">
        <v>2</v>
      </c>
      <c r="R147" s="16">
        <v>0</v>
      </c>
      <c r="S147" s="16">
        <v>0</v>
      </c>
      <c r="T147" s="16">
        <v>0</v>
      </c>
      <c r="U147" s="16">
        <v>0</v>
      </c>
      <c r="V147" s="16">
        <v>270</v>
      </c>
      <c r="W147" s="16">
        <v>624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893</v>
      </c>
      <c r="AD147" s="16">
        <v>-794</v>
      </c>
      <c r="AE147" s="16">
        <v>-794</v>
      </c>
      <c r="AF147" s="16">
        <v>5356</v>
      </c>
      <c r="AG147" s="16">
        <v>75</v>
      </c>
      <c r="AH147" s="16">
        <v>0</v>
      </c>
      <c r="AI147" s="16">
        <v>0</v>
      </c>
      <c r="AJ147" s="16">
        <v>0</v>
      </c>
      <c r="AK147" s="16">
        <v>107</v>
      </c>
      <c r="AL147" s="16">
        <v>0</v>
      </c>
      <c r="AM147" s="16">
        <v>-2403</v>
      </c>
      <c r="AN147" s="16">
        <v>0</v>
      </c>
      <c r="AO147" s="16">
        <v>-2221</v>
      </c>
      <c r="AP147" s="16">
        <v>7577</v>
      </c>
      <c r="AQ147" s="5" t="s">
        <v>159</v>
      </c>
    </row>
    <row r="148" spans="1:43" x14ac:dyDescent="0.3">
      <c r="A148" s="9" t="s">
        <v>321</v>
      </c>
      <c r="B148" s="11" t="s">
        <v>320</v>
      </c>
      <c r="C148" s="16">
        <v>0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-268.85000000000002</v>
      </c>
      <c r="J148" s="16">
        <v>1076</v>
      </c>
      <c r="K148" s="16">
        <v>0</v>
      </c>
      <c r="L148" s="16">
        <v>10</v>
      </c>
      <c r="M148" s="16">
        <v>0</v>
      </c>
      <c r="N148" s="16">
        <v>500</v>
      </c>
      <c r="O148" s="16">
        <v>89</v>
      </c>
      <c r="P148" s="16">
        <v>0</v>
      </c>
      <c r="Q148" s="16">
        <v>7.5</v>
      </c>
      <c r="R148" s="16">
        <v>0</v>
      </c>
      <c r="S148" s="16">
        <v>0</v>
      </c>
      <c r="T148" s="16">
        <v>0</v>
      </c>
      <c r="U148" s="16">
        <v>0</v>
      </c>
      <c r="V148" s="16">
        <v>89</v>
      </c>
      <c r="W148" s="16">
        <v>0</v>
      </c>
      <c r="X148" s="16">
        <v>500</v>
      </c>
      <c r="Y148" s="16">
        <v>3.75</v>
      </c>
      <c r="Z148" s="16">
        <v>16.25</v>
      </c>
      <c r="AA148" s="16">
        <v>483.75</v>
      </c>
      <c r="AB148" s="16">
        <v>0</v>
      </c>
      <c r="AC148" s="16">
        <v>0</v>
      </c>
      <c r="AD148" s="16">
        <v>1307</v>
      </c>
      <c r="AE148" s="16">
        <v>1307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-801</v>
      </c>
      <c r="AN148" s="16">
        <v>0</v>
      </c>
      <c r="AO148" s="16">
        <v>-801</v>
      </c>
      <c r="AP148" s="16">
        <v>801</v>
      </c>
      <c r="AQ148" s="5" t="s">
        <v>159</v>
      </c>
    </row>
    <row r="149" spans="1:43" x14ac:dyDescent="0.3">
      <c r="A149" s="9" t="s">
        <v>323</v>
      </c>
      <c r="B149" s="11" t="s">
        <v>322</v>
      </c>
      <c r="C149" s="16">
        <v>-6287</v>
      </c>
      <c r="D149" s="16">
        <v>-3429</v>
      </c>
      <c r="E149" s="16">
        <v>-571</v>
      </c>
      <c r="F149" s="16">
        <v>-800</v>
      </c>
      <c r="G149" s="16">
        <v>-342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-707</v>
      </c>
      <c r="P149" s="16">
        <v>0</v>
      </c>
      <c r="Q149" s="16">
        <v>-1.5</v>
      </c>
      <c r="R149" s="16">
        <v>0</v>
      </c>
      <c r="S149" s="16">
        <v>0</v>
      </c>
      <c r="T149" s="16">
        <v>0</v>
      </c>
      <c r="U149" s="16">
        <v>0</v>
      </c>
      <c r="V149" s="16">
        <v>-707</v>
      </c>
      <c r="W149" s="16">
        <v>-8000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-2286</v>
      </c>
      <c r="AD149" s="16">
        <v>0</v>
      </c>
      <c r="AE149" s="16">
        <v>0</v>
      </c>
      <c r="AF149" s="16">
        <v>-13715</v>
      </c>
      <c r="AG149" s="16">
        <v>-960</v>
      </c>
      <c r="AH149" s="16">
        <v>0</v>
      </c>
      <c r="AI149" s="16">
        <v>-53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-1013</v>
      </c>
      <c r="AP149" s="16">
        <v>-12702</v>
      </c>
      <c r="AQ149" s="5" t="s">
        <v>159</v>
      </c>
    </row>
    <row r="150" spans="1:43" x14ac:dyDescent="0.3">
      <c r="A150" s="9" t="s">
        <v>325</v>
      </c>
      <c r="B150" s="11" t="s">
        <v>324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1019</v>
      </c>
      <c r="J150" s="16">
        <v>-3687</v>
      </c>
      <c r="K150" s="16">
        <v>0</v>
      </c>
      <c r="L150" s="16">
        <v>-32.5</v>
      </c>
      <c r="M150" s="16">
        <v>0</v>
      </c>
      <c r="N150" s="16">
        <v>0</v>
      </c>
      <c r="O150" s="16">
        <v>111</v>
      </c>
      <c r="P150" s="16">
        <v>0</v>
      </c>
      <c r="Q150" s="16">
        <v>7.5</v>
      </c>
      <c r="R150" s="16">
        <v>0</v>
      </c>
      <c r="S150" s="16">
        <v>0</v>
      </c>
      <c r="T150" s="16">
        <v>0</v>
      </c>
      <c r="U150" s="16">
        <v>0</v>
      </c>
      <c r="V150" s="16">
        <v>111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-2668</v>
      </c>
      <c r="AE150" s="16">
        <v>-2668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-801</v>
      </c>
      <c r="AN150" s="16">
        <v>0</v>
      </c>
      <c r="AO150" s="16">
        <v>-801</v>
      </c>
      <c r="AP150" s="16">
        <v>801</v>
      </c>
      <c r="AQ150" s="5" t="s">
        <v>159</v>
      </c>
    </row>
    <row r="151" spans="1:43" x14ac:dyDescent="0.3">
      <c r="A151" s="9" t="s">
        <v>327</v>
      </c>
      <c r="B151" s="11" t="s">
        <v>326</v>
      </c>
      <c r="C151" s="16">
        <v>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-4608</v>
      </c>
      <c r="K151" s="16">
        <v>0</v>
      </c>
      <c r="L151" s="16">
        <v>-24</v>
      </c>
      <c r="M151" s="16">
        <v>0</v>
      </c>
      <c r="N151" s="16">
        <v>0</v>
      </c>
      <c r="O151" s="16">
        <v>181</v>
      </c>
      <c r="P151" s="16">
        <v>0</v>
      </c>
      <c r="Q151" s="16">
        <v>6.5</v>
      </c>
      <c r="R151" s="16">
        <v>0</v>
      </c>
      <c r="S151" s="16">
        <v>0</v>
      </c>
      <c r="T151" s="16">
        <v>0</v>
      </c>
      <c r="U151" s="16">
        <v>0</v>
      </c>
      <c r="V151" s="16">
        <v>181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-4608</v>
      </c>
      <c r="AE151" s="16">
        <v>-4608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-3204</v>
      </c>
      <c r="AN151" s="16">
        <v>0</v>
      </c>
      <c r="AO151" s="16">
        <v>-3204</v>
      </c>
      <c r="AP151" s="16">
        <v>3204</v>
      </c>
      <c r="AQ151" s="5" t="s">
        <v>159</v>
      </c>
    </row>
    <row r="152" spans="1:43" x14ac:dyDescent="0.3">
      <c r="A152" s="9" t="s">
        <v>329</v>
      </c>
      <c r="B152" s="11" t="s">
        <v>328</v>
      </c>
      <c r="C152" s="16">
        <v>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-111500</v>
      </c>
      <c r="AK152" s="16">
        <v>0</v>
      </c>
      <c r="AL152" s="16">
        <v>0</v>
      </c>
      <c r="AM152" s="16">
        <v>-3204</v>
      </c>
      <c r="AN152" s="16">
        <v>0</v>
      </c>
      <c r="AO152" s="16">
        <v>-114704</v>
      </c>
      <c r="AP152" s="16">
        <v>114704</v>
      </c>
      <c r="AQ152" s="5" t="s">
        <v>159</v>
      </c>
    </row>
    <row r="153" spans="1:43" x14ac:dyDescent="0.3">
      <c r="A153" s="9" t="s">
        <v>331</v>
      </c>
      <c r="B153" s="11" t="s">
        <v>330</v>
      </c>
      <c r="C153" s="16">
        <v>-299</v>
      </c>
      <c r="D153" s="16">
        <v>-163</v>
      </c>
      <c r="E153" s="16">
        <v>-27</v>
      </c>
      <c r="F153" s="16">
        <v>-38</v>
      </c>
      <c r="G153" s="16">
        <v>-17</v>
      </c>
      <c r="H153" s="16">
        <v>0</v>
      </c>
      <c r="I153" s="16">
        <v>-346.38</v>
      </c>
      <c r="J153" s="16">
        <v>2836</v>
      </c>
      <c r="K153" s="16">
        <v>0</v>
      </c>
      <c r="L153" s="16">
        <v>25</v>
      </c>
      <c r="M153" s="16">
        <v>0</v>
      </c>
      <c r="N153" s="16">
        <v>0</v>
      </c>
      <c r="O153" s="16">
        <v>-36</v>
      </c>
      <c r="P153" s="16">
        <v>500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-36</v>
      </c>
      <c r="W153" s="16">
        <v>-381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-210</v>
      </c>
      <c r="AD153" s="16">
        <v>2990</v>
      </c>
      <c r="AE153" s="16">
        <v>2990</v>
      </c>
      <c r="AF153" s="16">
        <v>-754</v>
      </c>
      <c r="AG153" s="16">
        <v>-46</v>
      </c>
      <c r="AH153" s="16">
        <v>0</v>
      </c>
      <c r="AI153" s="16">
        <v>0</v>
      </c>
      <c r="AJ153" s="16">
        <v>0</v>
      </c>
      <c r="AK153" s="16">
        <v>-15</v>
      </c>
      <c r="AL153" s="16">
        <v>0</v>
      </c>
      <c r="AM153" s="16">
        <v>-2403</v>
      </c>
      <c r="AN153" s="16">
        <v>0</v>
      </c>
      <c r="AO153" s="16">
        <v>-2464</v>
      </c>
      <c r="AP153" s="16">
        <v>1710</v>
      </c>
      <c r="AQ153" s="5" t="s">
        <v>159</v>
      </c>
    </row>
    <row r="154" spans="1:43" x14ac:dyDescent="0.3">
      <c r="A154" s="9" t="s">
        <v>333</v>
      </c>
      <c r="B154" s="11" t="s">
        <v>332</v>
      </c>
      <c r="C154" s="16">
        <v>0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62</v>
      </c>
      <c r="P154" s="16">
        <v>0</v>
      </c>
      <c r="Q154" s="16">
        <v>1.5</v>
      </c>
      <c r="R154" s="16">
        <v>0</v>
      </c>
      <c r="S154" s="16">
        <v>0</v>
      </c>
      <c r="T154" s="16">
        <v>0</v>
      </c>
      <c r="U154" s="16">
        <v>0</v>
      </c>
      <c r="V154" s="16">
        <v>62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-4806</v>
      </c>
      <c r="AN154" s="16">
        <v>0</v>
      </c>
      <c r="AO154" s="16">
        <v>-4806</v>
      </c>
      <c r="AP154" s="16">
        <v>4806</v>
      </c>
      <c r="AQ154" s="5" t="s">
        <v>159</v>
      </c>
    </row>
    <row r="155" spans="1:43" x14ac:dyDescent="0.3">
      <c r="A155" s="9" t="s">
        <v>335</v>
      </c>
      <c r="B155" s="11" t="s">
        <v>334</v>
      </c>
      <c r="C155" s="16">
        <v>36</v>
      </c>
      <c r="D155" s="16">
        <v>20</v>
      </c>
      <c r="E155" s="16">
        <v>3</v>
      </c>
      <c r="F155" s="16">
        <v>5</v>
      </c>
      <c r="G155" s="16">
        <v>2</v>
      </c>
      <c r="H155" s="16">
        <v>0</v>
      </c>
      <c r="I155" s="16">
        <v>0</v>
      </c>
      <c r="J155" s="16">
        <v>1437</v>
      </c>
      <c r="K155" s="16">
        <v>0</v>
      </c>
      <c r="L155" s="16">
        <v>14</v>
      </c>
      <c r="M155" s="16">
        <v>0</v>
      </c>
      <c r="N155" s="16">
        <v>500</v>
      </c>
      <c r="O155" s="16">
        <v>-365</v>
      </c>
      <c r="P155" s="16">
        <v>0</v>
      </c>
      <c r="Q155" s="16">
        <v>-32.5</v>
      </c>
      <c r="R155" s="16">
        <v>0</v>
      </c>
      <c r="S155" s="16">
        <v>0</v>
      </c>
      <c r="T155" s="16">
        <v>0</v>
      </c>
      <c r="U155" s="16">
        <v>0</v>
      </c>
      <c r="V155" s="16">
        <v>-365</v>
      </c>
      <c r="W155" s="16">
        <v>46</v>
      </c>
      <c r="X155" s="16">
        <v>500</v>
      </c>
      <c r="Y155" s="16">
        <v>3.75</v>
      </c>
      <c r="Z155" s="16">
        <v>16.25</v>
      </c>
      <c r="AA155" s="16">
        <v>483.75</v>
      </c>
      <c r="AB155" s="16">
        <v>0</v>
      </c>
      <c r="AC155" s="16">
        <v>10</v>
      </c>
      <c r="AD155" s="16">
        <v>1937</v>
      </c>
      <c r="AE155" s="16">
        <v>1937</v>
      </c>
      <c r="AF155" s="16">
        <v>76</v>
      </c>
      <c r="AG155" s="16">
        <v>5</v>
      </c>
      <c r="AH155" s="16">
        <v>0</v>
      </c>
      <c r="AI155" s="16">
        <v>0</v>
      </c>
      <c r="AJ155" s="16">
        <v>0</v>
      </c>
      <c r="AK155" s="16">
        <v>2</v>
      </c>
      <c r="AL155" s="16">
        <v>0</v>
      </c>
      <c r="AM155" s="16">
        <v>-801</v>
      </c>
      <c r="AN155" s="16">
        <v>0</v>
      </c>
      <c r="AO155" s="16">
        <v>-794</v>
      </c>
      <c r="AP155" s="16">
        <v>870</v>
      </c>
      <c r="AQ155" s="5" t="s">
        <v>159</v>
      </c>
    </row>
    <row r="156" spans="1:43" x14ac:dyDescent="0.3">
      <c r="A156" s="9" t="s">
        <v>337</v>
      </c>
      <c r="B156" s="11" t="s">
        <v>336</v>
      </c>
      <c r="C156" s="16">
        <v>0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123</v>
      </c>
      <c r="P156" s="16">
        <v>0</v>
      </c>
      <c r="Q156" s="16">
        <v>10</v>
      </c>
      <c r="R156" s="16">
        <v>0</v>
      </c>
      <c r="S156" s="16">
        <v>0</v>
      </c>
      <c r="T156" s="16">
        <v>0</v>
      </c>
      <c r="U156" s="16">
        <v>0</v>
      </c>
      <c r="V156" s="16">
        <v>123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-2403</v>
      </c>
      <c r="AN156" s="16">
        <v>0</v>
      </c>
      <c r="AO156" s="16">
        <v>-2403</v>
      </c>
      <c r="AP156" s="16">
        <v>2403</v>
      </c>
      <c r="AQ156" s="5" t="s">
        <v>159</v>
      </c>
    </row>
    <row r="157" spans="1:43" x14ac:dyDescent="0.3">
      <c r="A157" s="9" t="s">
        <v>339</v>
      </c>
      <c r="B157" s="11" t="s">
        <v>338</v>
      </c>
      <c r="C157" s="16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-1000</v>
      </c>
      <c r="I157" s="16">
        <v>0</v>
      </c>
      <c r="J157" s="16">
        <v>1178</v>
      </c>
      <c r="K157" s="16">
        <v>0</v>
      </c>
      <c r="L157" s="16">
        <v>12</v>
      </c>
      <c r="M157" s="16">
        <v>0</v>
      </c>
      <c r="N157" s="16">
        <v>0</v>
      </c>
      <c r="O157" s="16">
        <v>102</v>
      </c>
      <c r="P157" s="16">
        <v>0</v>
      </c>
      <c r="Q157" s="16">
        <v>7.5</v>
      </c>
      <c r="R157" s="16">
        <v>0</v>
      </c>
      <c r="S157" s="16">
        <v>0</v>
      </c>
      <c r="T157" s="16">
        <v>0</v>
      </c>
      <c r="U157" s="16">
        <v>0</v>
      </c>
      <c r="V157" s="16">
        <v>102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178</v>
      </c>
      <c r="AE157" s="16">
        <v>178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-2403</v>
      </c>
      <c r="AN157" s="16">
        <v>0</v>
      </c>
      <c r="AO157" s="16">
        <v>-2403</v>
      </c>
      <c r="AP157" s="16">
        <v>2403</v>
      </c>
      <c r="AQ157" s="5" t="s">
        <v>159</v>
      </c>
    </row>
    <row r="158" spans="1:43" x14ac:dyDescent="0.3">
      <c r="A158" s="9" t="s">
        <v>341</v>
      </c>
      <c r="B158" s="11" t="s">
        <v>340</v>
      </c>
      <c r="C158" s="16">
        <v>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192.77</v>
      </c>
      <c r="J158" s="16">
        <v>2269</v>
      </c>
      <c r="K158" s="16">
        <v>0</v>
      </c>
      <c r="L158" s="16">
        <v>20</v>
      </c>
      <c r="M158" s="16">
        <v>0</v>
      </c>
      <c r="N158" s="16">
        <v>0</v>
      </c>
      <c r="O158" s="16">
        <v>106</v>
      </c>
      <c r="P158" s="16">
        <v>0</v>
      </c>
      <c r="Q158" s="16">
        <v>5</v>
      </c>
      <c r="R158" s="16">
        <v>0</v>
      </c>
      <c r="S158" s="16">
        <v>0</v>
      </c>
      <c r="T158" s="16">
        <v>0</v>
      </c>
      <c r="U158" s="16">
        <v>0</v>
      </c>
      <c r="V158" s="16">
        <v>106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2462</v>
      </c>
      <c r="AE158" s="16">
        <v>2462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-2403</v>
      </c>
      <c r="AN158" s="16">
        <v>0</v>
      </c>
      <c r="AO158" s="16">
        <v>-2403</v>
      </c>
      <c r="AP158" s="16">
        <v>2403</v>
      </c>
      <c r="AQ158" s="5" t="s">
        <v>159</v>
      </c>
    </row>
    <row r="159" spans="1:43" x14ac:dyDescent="0.3">
      <c r="A159" s="9" t="s">
        <v>343</v>
      </c>
      <c r="B159" s="11" t="s">
        <v>342</v>
      </c>
      <c r="C159" s="16">
        <v>0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500.23</v>
      </c>
      <c r="J159" s="16">
        <v>-908</v>
      </c>
      <c r="K159" s="16">
        <v>0</v>
      </c>
      <c r="L159" s="16">
        <v>-8</v>
      </c>
      <c r="M159" s="16">
        <v>0</v>
      </c>
      <c r="N159" s="16">
        <v>0</v>
      </c>
      <c r="O159" s="16">
        <v>64</v>
      </c>
      <c r="P159" s="16">
        <v>0</v>
      </c>
      <c r="Q159" s="16">
        <v>5</v>
      </c>
      <c r="R159" s="16">
        <v>0</v>
      </c>
      <c r="S159" s="16">
        <v>0</v>
      </c>
      <c r="T159" s="16">
        <v>0</v>
      </c>
      <c r="U159" s="16">
        <v>0</v>
      </c>
      <c r="V159" s="16">
        <v>64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-408</v>
      </c>
      <c r="AE159" s="16">
        <v>-408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-801</v>
      </c>
      <c r="AN159" s="16">
        <v>0</v>
      </c>
      <c r="AO159" s="16">
        <v>-801</v>
      </c>
      <c r="AP159" s="16">
        <v>801</v>
      </c>
      <c r="AQ159" s="5" t="s">
        <v>159</v>
      </c>
    </row>
    <row r="160" spans="1:43" x14ac:dyDescent="0.3">
      <c r="A160" s="9" t="s">
        <v>345</v>
      </c>
      <c r="B160" s="11" t="s">
        <v>344</v>
      </c>
      <c r="C160" s="16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63</v>
      </c>
      <c r="P160" s="16">
        <v>0</v>
      </c>
      <c r="Q160" s="16">
        <v>2.5</v>
      </c>
      <c r="R160" s="16">
        <v>0</v>
      </c>
      <c r="S160" s="16">
        <v>0</v>
      </c>
      <c r="T160" s="16">
        <v>0</v>
      </c>
      <c r="U160" s="16">
        <v>0</v>
      </c>
      <c r="V160" s="16">
        <v>63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-2403</v>
      </c>
      <c r="AN160" s="16">
        <v>0</v>
      </c>
      <c r="AO160" s="16">
        <v>-2403</v>
      </c>
      <c r="AP160" s="16">
        <v>2403</v>
      </c>
      <c r="AQ160" s="5" t="s">
        <v>159</v>
      </c>
    </row>
    <row r="161" spans="1:43" x14ac:dyDescent="0.3">
      <c r="A161" s="9" t="s">
        <v>347</v>
      </c>
      <c r="B161" s="11" t="s">
        <v>346</v>
      </c>
      <c r="C161" s="16">
        <v>1411</v>
      </c>
      <c r="D161" s="16">
        <v>769</v>
      </c>
      <c r="E161" s="16">
        <v>129</v>
      </c>
      <c r="F161" s="16">
        <v>180</v>
      </c>
      <c r="G161" s="16">
        <v>77</v>
      </c>
      <c r="H161" s="16">
        <v>0</v>
      </c>
      <c r="I161" s="16">
        <v>0.08</v>
      </c>
      <c r="J161" s="16">
        <v>-3418</v>
      </c>
      <c r="K161" s="16">
        <v>2974</v>
      </c>
      <c r="L161" s="16">
        <v>-36</v>
      </c>
      <c r="M161" s="16">
        <v>0</v>
      </c>
      <c r="N161" s="16">
        <v>-1000</v>
      </c>
      <c r="O161" s="16">
        <v>192</v>
      </c>
      <c r="P161" s="16">
        <v>-500</v>
      </c>
      <c r="Q161" s="16">
        <v>5</v>
      </c>
      <c r="R161" s="16">
        <v>-37</v>
      </c>
      <c r="S161" s="16">
        <v>-160</v>
      </c>
      <c r="T161" s="16">
        <v>2</v>
      </c>
      <c r="U161" s="16">
        <v>6</v>
      </c>
      <c r="V161" s="16">
        <v>190</v>
      </c>
      <c r="W161" s="16">
        <v>1797</v>
      </c>
      <c r="X161" s="16">
        <v>-1500</v>
      </c>
      <c r="Y161" s="16">
        <v>-11.25</v>
      </c>
      <c r="Z161" s="16">
        <v>-48.75</v>
      </c>
      <c r="AA161" s="16">
        <v>-1451.25</v>
      </c>
      <c r="AB161" s="16">
        <v>0</v>
      </c>
      <c r="AC161" s="16">
        <v>408</v>
      </c>
      <c r="AD161" s="16">
        <v>-4918</v>
      </c>
      <c r="AE161" s="16">
        <v>-4881</v>
      </c>
      <c r="AF161" s="16">
        <v>2974</v>
      </c>
      <c r="AG161" s="16">
        <v>216</v>
      </c>
      <c r="AH161" s="16">
        <v>23</v>
      </c>
      <c r="AI161" s="16">
        <v>0</v>
      </c>
      <c r="AJ161" s="16">
        <v>0</v>
      </c>
      <c r="AK161" s="16">
        <v>86</v>
      </c>
      <c r="AL161" s="16">
        <v>0</v>
      </c>
      <c r="AM161" s="16">
        <v>0</v>
      </c>
      <c r="AN161" s="16">
        <v>0</v>
      </c>
      <c r="AO161" s="16">
        <v>325</v>
      </c>
      <c r="AP161" s="16">
        <v>2649</v>
      </c>
      <c r="AQ161" s="5" t="s">
        <v>159</v>
      </c>
    </row>
    <row r="162" spans="1:43" x14ac:dyDescent="0.3">
      <c r="A162" s="9" t="s">
        <v>349</v>
      </c>
      <c r="B162" s="11" t="s">
        <v>348</v>
      </c>
      <c r="C162" s="16">
        <v>-304</v>
      </c>
      <c r="D162" s="16">
        <v>-166</v>
      </c>
      <c r="E162" s="16">
        <v>-28</v>
      </c>
      <c r="F162" s="16">
        <v>-39</v>
      </c>
      <c r="G162" s="16">
        <v>-16</v>
      </c>
      <c r="H162" s="16">
        <v>0</v>
      </c>
      <c r="I162" s="16">
        <v>-173.54</v>
      </c>
      <c r="J162" s="16">
        <v>-159</v>
      </c>
      <c r="K162" s="16">
        <v>0</v>
      </c>
      <c r="L162" s="16">
        <v>-2</v>
      </c>
      <c r="M162" s="16">
        <v>0</v>
      </c>
      <c r="N162" s="16">
        <v>0</v>
      </c>
      <c r="O162" s="16">
        <v>15</v>
      </c>
      <c r="P162" s="16">
        <v>0</v>
      </c>
      <c r="Q162" s="16">
        <v>7.5</v>
      </c>
      <c r="R162" s="16">
        <v>0</v>
      </c>
      <c r="S162" s="16">
        <v>0</v>
      </c>
      <c r="T162" s="16">
        <v>0</v>
      </c>
      <c r="U162" s="16">
        <v>0</v>
      </c>
      <c r="V162" s="16">
        <v>15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-333</v>
      </c>
      <c r="AE162" s="16">
        <v>-333</v>
      </c>
      <c r="AF162" s="16">
        <v>-553</v>
      </c>
      <c r="AG162" s="16">
        <v>0</v>
      </c>
      <c r="AH162" s="16">
        <v>0</v>
      </c>
      <c r="AI162" s="16">
        <v>0</v>
      </c>
      <c r="AJ162" s="16">
        <v>0</v>
      </c>
      <c r="AK162" s="16">
        <v>-23</v>
      </c>
      <c r="AL162" s="16">
        <v>0</v>
      </c>
      <c r="AM162" s="16">
        <v>0</v>
      </c>
      <c r="AN162" s="16">
        <v>-100</v>
      </c>
      <c r="AO162" s="16">
        <v>-123</v>
      </c>
      <c r="AP162" s="16">
        <v>-430</v>
      </c>
      <c r="AQ162" s="5" t="s">
        <v>159</v>
      </c>
    </row>
    <row r="163" spans="1:43" x14ac:dyDescent="0.3">
      <c r="A163" s="9" t="s">
        <v>351</v>
      </c>
      <c r="B163" s="11" t="s">
        <v>350</v>
      </c>
      <c r="C163" s="16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144</v>
      </c>
      <c r="P163" s="16">
        <v>0</v>
      </c>
      <c r="Q163" s="16">
        <v>10</v>
      </c>
      <c r="R163" s="16">
        <v>0</v>
      </c>
      <c r="S163" s="16">
        <v>0</v>
      </c>
      <c r="T163" s="16">
        <v>0</v>
      </c>
      <c r="U163" s="16">
        <v>0</v>
      </c>
      <c r="V163" s="16">
        <v>144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  <c r="AK163" s="16">
        <v>0</v>
      </c>
      <c r="AL163" s="16">
        <v>0</v>
      </c>
      <c r="AM163" s="16">
        <v>-1602</v>
      </c>
      <c r="AN163" s="16">
        <v>0</v>
      </c>
      <c r="AO163" s="16">
        <v>-1602</v>
      </c>
      <c r="AP163" s="16">
        <v>1602</v>
      </c>
      <c r="AQ163" s="5" t="s">
        <v>159</v>
      </c>
    </row>
    <row r="164" spans="1:43" x14ac:dyDescent="0.3">
      <c r="A164" s="9" t="s">
        <v>353</v>
      </c>
      <c r="B164" s="11" t="s">
        <v>352</v>
      </c>
      <c r="C164" s="16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86</v>
      </c>
      <c r="P164" s="16">
        <v>0</v>
      </c>
      <c r="Q164" s="16">
        <v>5</v>
      </c>
      <c r="R164" s="16">
        <v>0</v>
      </c>
      <c r="S164" s="16">
        <v>0</v>
      </c>
      <c r="T164" s="16">
        <v>0</v>
      </c>
      <c r="U164" s="16">
        <v>0</v>
      </c>
      <c r="V164" s="16">
        <v>86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-2403</v>
      </c>
      <c r="AN164" s="16">
        <v>0</v>
      </c>
      <c r="AO164" s="16">
        <v>-2403</v>
      </c>
      <c r="AP164" s="16">
        <v>2403</v>
      </c>
      <c r="AQ164" s="5" t="s">
        <v>159</v>
      </c>
    </row>
    <row r="165" spans="1:43" x14ac:dyDescent="0.3">
      <c r="A165" s="9" t="s">
        <v>355</v>
      </c>
      <c r="B165" s="11" t="s">
        <v>354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-4783</v>
      </c>
      <c r="K165" s="16">
        <v>0</v>
      </c>
      <c r="L165" s="16">
        <v>-21</v>
      </c>
      <c r="M165" s="16">
        <v>0</v>
      </c>
      <c r="N165" s="16">
        <v>0</v>
      </c>
      <c r="O165" s="16">
        <v>-64</v>
      </c>
      <c r="P165" s="16">
        <v>0</v>
      </c>
      <c r="Q165" s="16">
        <v>-2</v>
      </c>
      <c r="R165" s="16">
        <v>0</v>
      </c>
      <c r="S165" s="16">
        <v>0</v>
      </c>
      <c r="T165" s="16">
        <v>0</v>
      </c>
      <c r="U165" s="16">
        <v>0</v>
      </c>
      <c r="V165" s="16">
        <v>-64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-4783</v>
      </c>
      <c r="AE165" s="16">
        <v>-4783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-3204</v>
      </c>
      <c r="AN165" s="16">
        <v>0</v>
      </c>
      <c r="AO165" s="16">
        <v>-3204</v>
      </c>
      <c r="AP165" s="16">
        <v>3204</v>
      </c>
      <c r="AQ165" s="5" t="s">
        <v>159</v>
      </c>
    </row>
    <row r="166" spans="1:43" x14ac:dyDescent="0.3">
      <c r="A166" s="9" t="s">
        <v>357</v>
      </c>
      <c r="B166" s="11" t="s">
        <v>356</v>
      </c>
      <c r="C166" s="16">
        <v>-3578</v>
      </c>
      <c r="D166" s="16">
        <v>-1952</v>
      </c>
      <c r="E166" s="16">
        <v>-325</v>
      </c>
      <c r="F166" s="16">
        <v>-455</v>
      </c>
      <c r="G166" s="16">
        <v>-195</v>
      </c>
      <c r="H166" s="16">
        <v>0</v>
      </c>
      <c r="I166" s="16">
        <v>-76.92</v>
      </c>
      <c r="J166" s="16">
        <v>0</v>
      </c>
      <c r="K166" s="16">
        <v>-6505</v>
      </c>
      <c r="L166" s="16">
        <v>0</v>
      </c>
      <c r="M166" s="16">
        <v>0</v>
      </c>
      <c r="N166" s="16">
        <v>0</v>
      </c>
      <c r="O166" s="16">
        <v>-269</v>
      </c>
      <c r="P166" s="16">
        <v>0</v>
      </c>
      <c r="Q166" s="16">
        <v>7.5</v>
      </c>
      <c r="R166" s="16">
        <v>-1</v>
      </c>
      <c r="S166" s="16">
        <v>-2</v>
      </c>
      <c r="T166" s="16">
        <v>-2</v>
      </c>
      <c r="U166" s="16">
        <v>-9</v>
      </c>
      <c r="V166" s="16">
        <v>-267</v>
      </c>
      <c r="W166" s="16">
        <v>-4553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-77</v>
      </c>
      <c r="AE166" s="16">
        <v>-76</v>
      </c>
      <c r="AF166" s="16">
        <v>-6505</v>
      </c>
      <c r="AG166" s="16">
        <v>-547</v>
      </c>
      <c r="AH166" s="16">
        <v>-49</v>
      </c>
      <c r="AI166" s="16">
        <v>-155</v>
      </c>
      <c r="AJ166" s="16">
        <v>0</v>
      </c>
      <c r="AK166" s="16">
        <v>-199</v>
      </c>
      <c r="AL166" s="16">
        <v>0</v>
      </c>
      <c r="AM166" s="16">
        <v>0</v>
      </c>
      <c r="AN166" s="16">
        <v>0</v>
      </c>
      <c r="AO166" s="16">
        <v>-950</v>
      </c>
      <c r="AP166" s="16">
        <v>-5555</v>
      </c>
      <c r="AQ166" s="5" t="s">
        <v>159</v>
      </c>
    </row>
    <row r="167" spans="1:43" x14ac:dyDescent="0.3">
      <c r="A167" s="9" t="s">
        <v>359</v>
      </c>
      <c r="B167" s="11" t="s">
        <v>358</v>
      </c>
      <c r="C167" s="16">
        <v>-2470</v>
      </c>
      <c r="D167" s="16">
        <v>-1347</v>
      </c>
      <c r="E167" s="16">
        <v>-225</v>
      </c>
      <c r="F167" s="16">
        <v>-314</v>
      </c>
      <c r="G167" s="16">
        <v>-135</v>
      </c>
      <c r="H167" s="16">
        <v>-1000</v>
      </c>
      <c r="I167" s="16">
        <v>-346.15</v>
      </c>
      <c r="J167" s="16">
        <v>-1104</v>
      </c>
      <c r="K167" s="16">
        <v>-5165</v>
      </c>
      <c r="L167" s="16">
        <v>-12</v>
      </c>
      <c r="M167" s="16">
        <v>0</v>
      </c>
      <c r="N167" s="16">
        <v>-500</v>
      </c>
      <c r="O167" s="16">
        <v>-195</v>
      </c>
      <c r="P167" s="16">
        <v>0</v>
      </c>
      <c r="Q167" s="16">
        <v>5</v>
      </c>
      <c r="R167" s="16">
        <v>-22</v>
      </c>
      <c r="S167" s="16">
        <v>-96</v>
      </c>
      <c r="T167" s="16">
        <v>-2</v>
      </c>
      <c r="U167" s="16">
        <v>-6</v>
      </c>
      <c r="V167" s="16">
        <v>-193</v>
      </c>
      <c r="W167" s="16">
        <v>-3144</v>
      </c>
      <c r="X167" s="16">
        <v>-500</v>
      </c>
      <c r="Y167" s="16">
        <v>-3.75</v>
      </c>
      <c r="Z167" s="16">
        <v>-16.25</v>
      </c>
      <c r="AA167" s="16">
        <v>-483.75</v>
      </c>
      <c r="AB167" s="16">
        <v>0</v>
      </c>
      <c r="AC167" s="16">
        <v>-674</v>
      </c>
      <c r="AD167" s="16">
        <v>-2950</v>
      </c>
      <c r="AE167" s="16">
        <v>-2928</v>
      </c>
      <c r="AF167" s="16">
        <v>-5165</v>
      </c>
      <c r="AG167" s="16">
        <v>-378</v>
      </c>
      <c r="AH167" s="16">
        <v>-39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-417</v>
      </c>
      <c r="AP167" s="16">
        <v>-4748</v>
      </c>
      <c r="AQ167" s="5" t="s">
        <v>159</v>
      </c>
    </row>
    <row r="168" spans="1:43" x14ac:dyDescent="0.3">
      <c r="A168" s="9" t="s">
        <v>361</v>
      </c>
      <c r="B168" s="11" t="s">
        <v>360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346.23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118</v>
      </c>
      <c r="P168" s="16">
        <v>0</v>
      </c>
      <c r="Q168" s="16">
        <v>10</v>
      </c>
      <c r="R168" s="16">
        <v>0</v>
      </c>
      <c r="S168" s="16">
        <v>0</v>
      </c>
      <c r="T168" s="16">
        <v>0</v>
      </c>
      <c r="U168" s="16">
        <v>0</v>
      </c>
      <c r="V168" s="16">
        <v>118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346</v>
      </c>
      <c r="AE168" s="16">
        <v>346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-1602</v>
      </c>
      <c r="AN168" s="16">
        <v>0</v>
      </c>
      <c r="AO168" s="16">
        <v>-1602</v>
      </c>
      <c r="AP168" s="16">
        <v>1602</v>
      </c>
      <c r="AQ168" s="5" t="s">
        <v>159</v>
      </c>
    </row>
    <row r="169" spans="1:43" x14ac:dyDescent="0.3">
      <c r="A169" s="9" t="s">
        <v>363</v>
      </c>
      <c r="B169" s="11" t="s">
        <v>362</v>
      </c>
      <c r="C169" s="16">
        <v>0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57</v>
      </c>
      <c r="P169" s="16">
        <v>0</v>
      </c>
      <c r="Q169" s="16">
        <v>2</v>
      </c>
      <c r="R169" s="16">
        <v>0</v>
      </c>
      <c r="S169" s="16">
        <v>0</v>
      </c>
      <c r="T169" s="16">
        <v>0</v>
      </c>
      <c r="U169" s="16">
        <v>0</v>
      </c>
      <c r="V169" s="16">
        <v>57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6">
        <v>0</v>
      </c>
      <c r="AO169" s="16">
        <v>0</v>
      </c>
      <c r="AP169" s="16">
        <v>0</v>
      </c>
      <c r="AQ169" s="5" t="s">
        <v>159</v>
      </c>
    </row>
    <row r="170" spans="1:43" x14ac:dyDescent="0.3">
      <c r="A170" s="9" t="s">
        <v>365</v>
      </c>
      <c r="B170" s="11" t="s">
        <v>364</v>
      </c>
      <c r="C170" s="16">
        <v>0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186</v>
      </c>
      <c r="P170" s="16">
        <v>0</v>
      </c>
      <c r="Q170" s="16">
        <v>1.5</v>
      </c>
      <c r="R170" s="16">
        <v>0</v>
      </c>
      <c r="S170" s="16">
        <v>0</v>
      </c>
      <c r="T170" s="16">
        <v>0</v>
      </c>
      <c r="U170" s="16">
        <v>0</v>
      </c>
      <c r="V170" s="16">
        <v>186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-36336</v>
      </c>
      <c r="AK170" s="16">
        <v>0</v>
      </c>
      <c r="AL170" s="16">
        <v>0</v>
      </c>
      <c r="AM170" s="16">
        <v>-4005</v>
      </c>
      <c r="AN170" s="16">
        <v>0</v>
      </c>
      <c r="AO170" s="16">
        <v>-40341</v>
      </c>
      <c r="AP170" s="16">
        <v>40341</v>
      </c>
      <c r="AQ170" s="5" t="s">
        <v>159</v>
      </c>
    </row>
    <row r="171" spans="1:43" x14ac:dyDescent="0.3">
      <c r="A171" s="9" t="s">
        <v>367</v>
      </c>
      <c r="B171" s="11" t="s">
        <v>366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25</v>
      </c>
      <c r="P171" s="16">
        <v>0</v>
      </c>
      <c r="Q171" s="16">
        <v>1.5</v>
      </c>
      <c r="R171" s="16">
        <v>0</v>
      </c>
      <c r="S171" s="16">
        <v>0</v>
      </c>
      <c r="T171" s="16">
        <v>0</v>
      </c>
      <c r="U171" s="16">
        <v>0</v>
      </c>
      <c r="V171" s="16">
        <v>25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-2403</v>
      </c>
      <c r="AN171" s="16">
        <v>0</v>
      </c>
      <c r="AO171" s="16">
        <v>-2403</v>
      </c>
      <c r="AP171" s="16">
        <v>2403</v>
      </c>
      <c r="AQ171" s="5" t="s">
        <v>159</v>
      </c>
    </row>
    <row r="172" spans="1:43" x14ac:dyDescent="0.3">
      <c r="A172" s="9" t="s">
        <v>369</v>
      </c>
      <c r="B172" s="11" t="s">
        <v>368</v>
      </c>
      <c r="C172" s="16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1142</v>
      </c>
      <c r="K172" s="16">
        <v>0</v>
      </c>
      <c r="L172" s="16">
        <v>5</v>
      </c>
      <c r="M172" s="16">
        <v>0</v>
      </c>
      <c r="N172" s="16">
        <v>0</v>
      </c>
      <c r="O172" s="16">
        <v>219</v>
      </c>
      <c r="P172" s="16">
        <v>0</v>
      </c>
      <c r="Q172" s="16">
        <v>7.5</v>
      </c>
      <c r="R172" s="16">
        <v>0</v>
      </c>
      <c r="S172" s="16">
        <v>0</v>
      </c>
      <c r="T172" s="16">
        <v>0</v>
      </c>
      <c r="U172" s="16">
        <v>0</v>
      </c>
      <c r="V172" s="16">
        <v>219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1142</v>
      </c>
      <c r="AE172" s="16">
        <v>1142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-4005</v>
      </c>
      <c r="AN172" s="16">
        <v>0</v>
      </c>
      <c r="AO172" s="16">
        <v>-4005</v>
      </c>
      <c r="AP172" s="16">
        <v>4005</v>
      </c>
      <c r="AQ172" s="5" t="s">
        <v>159</v>
      </c>
    </row>
    <row r="173" spans="1:43" x14ac:dyDescent="0.3">
      <c r="A173" s="9" t="s">
        <v>371</v>
      </c>
      <c r="B173" s="11" t="s">
        <v>370</v>
      </c>
      <c r="C173" s="16">
        <v>-5314</v>
      </c>
      <c r="D173" s="16">
        <v>-2899</v>
      </c>
      <c r="E173" s="16">
        <v>-483</v>
      </c>
      <c r="F173" s="16">
        <v>-677</v>
      </c>
      <c r="G173" s="16">
        <v>-290</v>
      </c>
      <c r="H173" s="16">
        <v>0</v>
      </c>
      <c r="I173" s="16">
        <v>0</v>
      </c>
      <c r="J173" s="16">
        <v>0</v>
      </c>
      <c r="K173" s="16">
        <v>-11825</v>
      </c>
      <c r="L173" s="16">
        <v>0</v>
      </c>
      <c r="M173" s="16">
        <v>0</v>
      </c>
      <c r="N173" s="16">
        <v>0</v>
      </c>
      <c r="O173" s="16">
        <v>-452</v>
      </c>
      <c r="P173" s="16">
        <v>0</v>
      </c>
      <c r="Q173" s="16">
        <v>10</v>
      </c>
      <c r="R173" s="16">
        <v>0</v>
      </c>
      <c r="S173" s="16">
        <v>0</v>
      </c>
      <c r="T173" s="16">
        <v>-3</v>
      </c>
      <c r="U173" s="16">
        <v>-15</v>
      </c>
      <c r="V173" s="16">
        <v>-449</v>
      </c>
      <c r="W173" s="16">
        <v>-6764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-2162</v>
      </c>
      <c r="AD173" s="16">
        <v>0</v>
      </c>
      <c r="AE173" s="16">
        <v>0</v>
      </c>
      <c r="AF173" s="16">
        <v>-11825</v>
      </c>
      <c r="AG173" s="16">
        <v>-812</v>
      </c>
      <c r="AH173" s="16">
        <v>-88</v>
      </c>
      <c r="AI173" s="16">
        <v>-53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-953</v>
      </c>
      <c r="AP173" s="16">
        <v>-10872</v>
      </c>
      <c r="AQ173" s="5" t="s">
        <v>159</v>
      </c>
    </row>
    <row r="174" spans="1:43" x14ac:dyDescent="0.3">
      <c r="A174" s="9" t="s">
        <v>373</v>
      </c>
      <c r="B174" s="11" t="s">
        <v>372</v>
      </c>
      <c r="C174" s="16">
        <v>0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-146</v>
      </c>
      <c r="P174" s="16">
        <v>0</v>
      </c>
      <c r="Q174" s="16">
        <v>-7</v>
      </c>
      <c r="R174" s="16">
        <v>0</v>
      </c>
      <c r="S174" s="16">
        <v>0</v>
      </c>
      <c r="T174" s="16">
        <v>0</v>
      </c>
      <c r="U174" s="16">
        <v>0</v>
      </c>
      <c r="V174" s="16">
        <v>-146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-2403</v>
      </c>
      <c r="AN174" s="16">
        <v>0</v>
      </c>
      <c r="AO174" s="16">
        <v>-2403</v>
      </c>
      <c r="AP174" s="16">
        <v>2403</v>
      </c>
      <c r="AQ174" s="5" t="s">
        <v>159</v>
      </c>
    </row>
    <row r="175" spans="1:43" x14ac:dyDescent="0.3">
      <c r="A175" s="9" t="s">
        <v>375</v>
      </c>
      <c r="B175" s="11" t="s">
        <v>374</v>
      </c>
      <c r="C175" s="16">
        <v>-848</v>
      </c>
      <c r="D175" s="16">
        <v>-462</v>
      </c>
      <c r="E175" s="16">
        <v>-78</v>
      </c>
      <c r="F175" s="16">
        <v>-108</v>
      </c>
      <c r="G175" s="16">
        <v>-46</v>
      </c>
      <c r="H175" s="16">
        <v>0</v>
      </c>
      <c r="I175" s="16">
        <v>-538</v>
      </c>
      <c r="J175" s="16">
        <v>0</v>
      </c>
      <c r="K175" s="16">
        <v>-1821</v>
      </c>
      <c r="L175" s="16">
        <v>0</v>
      </c>
      <c r="M175" s="16">
        <v>0</v>
      </c>
      <c r="N175" s="16">
        <v>0</v>
      </c>
      <c r="O175" s="16">
        <v>-141</v>
      </c>
      <c r="P175" s="16">
        <v>0</v>
      </c>
      <c r="Q175" s="16">
        <v>-7.5</v>
      </c>
      <c r="R175" s="16">
        <v>-4</v>
      </c>
      <c r="S175" s="16">
        <v>-18</v>
      </c>
      <c r="T175" s="16">
        <v>-1</v>
      </c>
      <c r="U175" s="16">
        <v>-5</v>
      </c>
      <c r="V175" s="16">
        <v>-140</v>
      </c>
      <c r="W175" s="16">
        <v>-1080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-279</v>
      </c>
      <c r="AD175" s="16">
        <v>-538</v>
      </c>
      <c r="AE175" s="16">
        <v>-534</v>
      </c>
      <c r="AF175" s="16">
        <v>-1821</v>
      </c>
      <c r="AG175" s="16">
        <v>-129</v>
      </c>
      <c r="AH175" s="16">
        <v>-14</v>
      </c>
      <c r="AI175" s="16">
        <v>0</v>
      </c>
      <c r="AJ175" s="16">
        <v>0</v>
      </c>
      <c r="AK175" s="16">
        <v>-58</v>
      </c>
      <c r="AL175" s="16">
        <v>0</v>
      </c>
      <c r="AM175" s="16">
        <v>0</v>
      </c>
      <c r="AN175" s="16">
        <v>0</v>
      </c>
      <c r="AO175" s="16">
        <v>-201</v>
      </c>
      <c r="AP175" s="16">
        <v>-1620</v>
      </c>
      <c r="AQ175" s="5" t="s">
        <v>159</v>
      </c>
    </row>
    <row r="176" spans="1:43" x14ac:dyDescent="0.3">
      <c r="A176" s="9" t="s">
        <v>377</v>
      </c>
      <c r="B176" s="11" t="s">
        <v>376</v>
      </c>
      <c r="C176" s="16">
        <v>0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91</v>
      </c>
      <c r="P176" s="16">
        <v>0</v>
      </c>
      <c r="Q176" s="16">
        <v>5</v>
      </c>
      <c r="R176" s="16">
        <v>0</v>
      </c>
      <c r="S176" s="16">
        <v>0</v>
      </c>
      <c r="T176" s="16">
        <v>0</v>
      </c>
      <c r="U176" s="16">
        <v>0</v>
      </c>
      <c r="V176" s="16">
        <v>91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-4005</v>
      </c>
      <c r="AN176" s="16">
        <v>0</v>
      </c>
      <c r="AO176" s="16">
        <v>-4005</v>
      </c>
      <c r="AP176" s="16">
        <v>4005</v>
      </c>
      <c r="AQ176" s="5" t="s">
        <v>159</v>
      </c>
    </row>
    <row r="177" spans="1:43" x14ac:dyDescent="0.3">
      <c r="A177" s="9" t="s">
        <v>379</v>
      </c>
      <c r="B177" s="11" t="s">
        <v>378</v>
      </c>
      <c r="C177" s="1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-173</v>
      </c>
      <c r="P177" s="16">
        <v>0</v>
      </c>
      <c r="Q177" s="16">
        <v>-7.5</v>
      </c>
      <c r="R177" s="16">
        <v>0</v>
      </c>
      <c r="S177" s="16">
        <v>0</v>
      </c>
      <c r="T177" s="16">
        <v>0</v>
      </c>
      <c r="U177" s="16">
        <v>0</v>
      </c>
      <c r="V177" s="16">
        <v>-173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-1602</v>
      </c>
      <c r="AN177" s="16">
        <v>0</v>
      </c>
      <c r="AO177" s="16">
        <v>-1602</v>
      </c>
      <c r="AP177" s="16">
        <v>1602</v>
      </c>
      <c r="AQ177" s="5" t="s">
        <v>159</v>
      </c>
    </row>
    <row r="178" spans="1:43" x14ac:dyDescent="0.3">
      <c r="A178" s="9" t="s">
        <v>381</v>
      </c>
      <c r="B178" s="11" t="s">
        <v>380</v>
      </c>
      <c r="C178" s="16">
        <v>0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2269</v>
      </c>
      <c r="K178" s="16">
        <v>0</v>
      </c>
      <c r="L178" s="16">
        <v>20</v>
      </c>
      <c r="M178" s="16">
        <v>0</v>
      </c>
      <c r="N178" s="16">
        <v>0</v>
      </c>
      <c r="O178" s="16">
        <v>213</v>
      </c>
      <c r="P178" s="16">
        <v>0</v>
      </c>
      <c r="Q178" s="16">
        <v>10</v>
      </c>
      <c r="R178" s="16">
        <v>0</v>
      </c>
      <c r="S178" s="16">
        <v>0</v>
      </c>
      <c r="T178" s="16">
        <v>0</v>
      </c>
      <c r="U178" s="16">
        <v>0</v>
      </c>
      <c r="V178" s="16">
        <v>213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2269</v>
      </c>
      <c r="AE178" s="16">
        <v>2269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-2403</v>
      </c>
      <c r="AN178" s="16">
        <v>0</v>
      </c>
      <c r="AO178" s="16">
        <v>-2403</v>
      </c>
      <c r="AP178" s="16">
        <v>2403</v>
      </c>
      <c r="AQ178" s="5" t="s">
        <v>159</v>
      </c>
    </row>
    <row r="179" spans="1:43" x14ac:dyDescent="0.3">
      <c r="A179" s="9" t="s">
        <v>383</v>
      </c>
      <c r="B179" s="11" t="s">
        <v>382</v>
      </c>
      <c r="C179" s="16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-1000</v>
      </c>
      <c r="I179" s="16">
        <v>0</v>
      </c>
      <c r="J179" s="16">
        <v>1399</v>
      </c>
      <c r="K179" s="16">
        <v>0</v>
      </c>
      <c r="L179" s="16">
        <v>12</v>
      </c>
      <c r="M179" s="16">
        <v>0</v>
      </c>
      <c r="N179" s="16">
        <v>0</v>
      </c>
      <c r="O179" s="16">
        <v>148</v>
      </c>
      <c r="P179" s="16">
        <v>500</v>
      </c>
      <c r="Q179" s="16">
        <v>10</v>
      </c>
      <c r="R179" s="16">
        <v>0</v>
      </c>
      <c r="S179" s="16">
        <v>0</v>
      </c>
      <c r="T179" s="16">
        <v>0</v>
      </c>
      <c r="U179" s="16">
        <v>0</v>
      </c>
      <c r="V179" s="16">
        <v>148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899</v>
      </c>
      <c r="AE179" s="16">
        <v>899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-2403</v>
      </c>
      <c r="AN179" s="16">
        <v>0</v>
      </c>
      <c r="AO179" s="16">
        <v>-2403</v>
      </c>
      <c r="AP179" s="16">
        <v>2403</v>
      </c>
      <c r="AQ179" s="5" t="s">
        <v>159</v>
      </c>
    </row>
    <row r="180" spans="1:43" x14ac:dyDescent="0.3">
      <c r="A180" s="9" t="s">
        <v>385</v>
      </c>
      <c r="B180" s="11" t="s">
        <v>384</v>
      </c>
      <c r="C180" s="16">
        <v>-659</v>
      </c>
      <c r="D180" s="16">
        <v>-359</v>
      </c>
      <c r="E180" s="16">
        <v>-60</v>
      </c>
      <c r="F180" s="16">
        <v>-84</v>
      </c>
      <c r="G180" s="16">
        <v>-36</v>
      </c>
      <c r="H180" s="16">
        <v>-1000</v>
      </c>
      <c r="I180" s="16">
        <v>-57.69</v>
      </c>
      <c r="J180" s="16">
        <v>-393</v>
      </c>
      <c r="K180" s="16">
        <v>-1342</v>
      </c>
      <c r="L180" s="16">
        <v>-4</v>
      </c>
      <c r="M180" s="16">
        <v>0</v>
      </c>
      <c r="N180" s="16">
        <v>500</v>
      </c>
      <c r="O180" s="16">
        <v>-213</v>
      </c>
      <c r="P180" s="16">
        <v>0</v>
      </c>
      <c r="Q180" s="16">
        <v>-15</v>
      </c>
      <c r="R180" s="16">
        <v>-7</v>
      </c>
      <c r="S180" s="16">
        <v>-31</v>
      </c>
      <c r="T180" s="16">
        <v>-2</v>
      </c>
      <c r="U180" s="16">
        <v>-7</v>
      </c>
      <c r="V180" s="16">
        <v>-211</v>
      </c>
      <c r="W180" s="16">
        <v>-839</v>
      </c>
      <c r="X180" s="16">
        <v>500</v>
      </c>
      <c r="Y180" s="16">
        <v>3.75</v>
      </c>
      <c r="Z180" s="16">
        <v>16.25</v>
      </c>
      <c r="AA180" s="16">
        <v>483.75</v>
      </c>
      <c r="AB180" s="16">
        <v>0</v>
      </c>
      <c r="AC180" s="16">
        <v>-144</v>
      </c>
      <c r="AD180" s="16">
        <v>-951</v>
      </c>
      <c r="AE180" s="16">
        <v>-944</v>
      </c>
      <c r="AF180" s="16">
        <v>-1342</v>
      </c>
      <c r="AG180" s="16">
        <v>-101</v>
      </c>
      <c r="AH180" s="16">
        <v>-10</v>
      </c>
      <c r="AI180" s="16">
        <v>0</v>
      </c>
      <c r="AJ180" s="16">
        <v>0</v>
      </c>
      <c r="AK180" s="16">
        <v>-39</v>
      </c>
      <c r="AL180" s="16">
        <v>0</v>
      </c>
      <c r="AM180" s="16">
        <v>0</v>
      </c>
      <c r="AN180" s="16">
        <v>0</v>
      </c>
      <c r="AO180" s="16">
        <v>-150</v>
      </c>
      <c r="AP180" s="16">
        <v>-1192</v>
      </c>
      <c r="AQ180" s="5" t="s">
        <v>159</v>
      </c>
    </row>
    <row r="181" spans="1:43" x14ac:dyDescent="0.3">
      <c r="A181" s="9" t="s">
        <v>387</v>
      </c>
      <c r="B181" s="11" t="s">
        <v>386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-144.15</v>
      </c>
      <c r="J181" s="16">
        <v>-1929</v>
      </c>
      <c r="K181" s="16">
        <v>0</v>
      </c>
      <c r="L181" s="16">
        <v>-17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-2073</v>
      </c>
      <c r="AE181" s="16">
        <v>-2073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0</v>
      </c>
      <c r="AL181" s="16">
        <v>0</v>
      </c>
      <c r="AM181" s="16">
        <v>-1602</v>
      </c>
      <c r="AN181" s="16">
        <v>0</v>
      </c>
      <c r="AO181" s="16">
        <v>-1602</v>
      </c>
      <c r="AP181" s="16">
        <v>1602</v>
      </c>
      <c r="AQ181" s="5" t="s">
        <v>159</v>
      </c>
    </row>
    <row r="182" spans="1:43" x14ac:dyDescent="0.3">
      <c r="A182" s="9" t="s">
        <v>389</v>
      </c>
      <c r="B182" s="11" t="s">
        <v>388</v>
      </c>
      <c r="C182" s="16">
        <v>0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20</v>
      </c>
      <c r="P182" s="16">
        <v>0</v>
      </c>
      <c r="Q182" s="16">
        <v>1.5</v>
      </c>
      <c r="R182" s="16">
        <v>0</v>
      </c>
      <c r="S182" s="16">
        <v>0</v>
      </c>
      <c r="T182" s="16">
        <v>0</v>
      </c>
      <c r="U182" s="16">
        <v>0</v>
      </c>
      <c r="V182" s="16">
        <v>20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-2403</v>
      </c>
      <c r="AN182" s="16">
        <v>0</v>
      </c>
      <c r="AO182" s="16">
        <v>-2403</v>
      </c>
      <c r="AP182" s="16">
        <v>2403</v>
      </c>
      <c r="AQ182" s="5" t="s">
        <v>159</v>
      </c>
    </row>
    <row r="183" spans="1:43" x14ac:dyDescent="0.3">
      <c r="A183" s="9" t="s">
        <v>391</v>
      </c>
      <c r="B183" s="11" t="s">
        <v>390</v>
      </c>
      <c r="C183" s="16">
        <v>0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-154</v>
      </c>
      <c r="J183" s="16">
        <v>-1481</v>
      </c>
      <c r="K183" s="16">
        <v>0</v>
      </c>
      <c r="L183" s="16">
        <v>-8</v>
      </c>
      <c r="M183" s="16">
        <v>0</v>
      </c>
      <c r="N183" s="16">
        <v>0</v>
      </c>
      <c r="O183" s="16">
        <v>187</v>
      </c>
      <c r="P183" s="16">
        <v>0</v>
      </c>
      <c r="Q183" s="16">
        <v>10</v>
      </c>
      <c r="R183" s="16">
        <v>0</v>
      </c>
      <c r="S183" s="16">
        <v>0</v>
      </c>
      <c r="T183" s="16">
        <v>0</v>
      </c>
      <c r="U183" s="16">
        <v>0</v>
      </c>
      <c r="V183" s="16">
        <v>187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-1635</v>
      </c>
      <c r="AE183" s="16">
        <v>-1635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-3204</v>
      </c>
      <c r="AN183" s="16">
        <v>-100</v>
      </c>
      <c r="AO183" s="16">
        <v>-3304</v>
      </c>
      <c r="AP183" s="16">
        <v>3304</v>
      </c>
      <c r="AQ183" s="5" t="s">
        <v>159</v>
      </c>
    </row>
    <row r="184" spans="1:43" x14ac:dyDescent="0.3">
      <c r="A184" s="9" t="s">
        <v>393</v>
      </c>
      <c r="B184" s="11" t="s">
        <v>392</v>
      </c>
      <c r="C184" s="16">
        <v>0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27</v>
      </c>
      <c r="P184" s="16">
        <v>0</v>
      </c>
      <c r="Q184" s="16">
        <v>0.5</v>
      </c>
      <c r="R184" s="16">
        <v>0</v>
      </c>
      <c r="S184" s="16">
        <v>0</v>
      </c>
      <c r="T184" s="16">
        <v>0</v>
      </c>
      <c r="U184" s="16">
        <v>0</v>
      </c>
      <c r="V184" s="16">
        <v>27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-600</v>
      </c>
      <c r="AL184" s="16">
        <v>0</v>
      </c>
      <c r="AM184" s="16">
        <v>0</v>
      </c>
      <c r="AN184" s="16">
        <v>0</v>
      </c>
      <c r="AO184" s="16">
        <v>-600</v>
      </c>
      <c r="AP184" s="16">
        <v>600</v>
      </c>
      <c r="AQ184" s="5" t="s">
        <v>159</v>
      </c>
    </row>
    <row r="185" spans="1:43" x14ac:dyDescent="0.3">
      <c r="A185" s="9" t="s">
        <v>395</v>
      </c>
      <c r="B185" s="11" t="s">
        <v>394</v>
      </c>
      <c r="C185" s="16">
        <v>-1127</v>
      </c>
      <c r="D185" s="16">
        <v>-614</v>
      </c>
      <c r="E185" s="16">
        <v>-103</v>
      </c>
      <c r="F185" s="16">
        <v>-144</v>
      </c>
      <c r="G185" s="16">
        <v>-61</v>
      </c>
      <c r="H185" s="16">
        <v>0</v>
      </c>
      <c r="I185" s="16">
        <v>-346.62</v>
      </c>
      <c r="J185" s="16">
        <v>1552</v>
      </c>
      <c r="K185" s="16">
        <v>-2377</v>
      </c>
      <c r="L185" s="16">
        <v>17</v>
      </c>
      <c r="M185" s="16">
        <v>0</v>
      </c>
      <c r="N185" s="16">
        <v>0</v>
      </c>
      <c r="O185" s="16">
        <v>-209</v>
      </c>
      <c r="P185" s="16">
        <v>0</v>
      </c>
      <c r="Q185" s="16">
        <v>-15</v>
      </c>
      <c r="R185" s="16">
        <v>9</v>
      </c>
      <c r="S185" s="16">
        <v>39</v>
      </c>
      <c r="T185" s="16">
        <v>-1</v>
      </c>
      <c r="U185" s="16">
        <v>-7</v>
      </c>
      <c r="V185" s="16">
        <v>-208</v>
      </c>
      <c r="W185" s="16">
        <v>-1435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-328</v>
      </c>
      <c r="AD185" s="16">
        <v>1205</v>
      </c>
      <c r="AE185" s="16">
        <v>1196</v>
      </c>
      <c r="AF185" s="16">
        <v>-2377</v>
      </c>
      <c r="AG185" s="16">
        <v>-173</v>
      </c>
      <c r="AH185" s="16">
        <v>-18</v>
      </c>
      <c r="AI185" s="16">
        <v>0</v>
      </c>
      <c r="AJ185" s="16">
        <v>0</v>
      </c>
      <c r="AK185" s="16">
        <v>-71</v>
      </c>
      <c r="AL185" s="16">
        <v>0</v>
      </c>
      <c r="AM185" s="16">
        <v>0</v>
      </c>
      <c r="AN185" s="16">
        <v>0</v>
      </c>
      <c r="AO185" s="16">
        <v>-262</v>
      </c>
      <c r="AP185" s="16">
        <v>-2115</v>
      </c>
      <c r="AQ185" s="5" t="s">
        <v>159</v>
      </c>
    </row>
    <row r="186" spans="1:43" x14ac:dyDescent="0.3">
      <c r="A186" s="9" t="s">
        <v>397</v>
      </c>
      <c r="B186" s="11" t="s">
        <v>396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711</v>
      </c>
      <c r="K186" s="16">
        <v>0</v>
      </c>
      <c r="L186" s="16">
        <v>4</v>
      </c>
      <c r="M186" s="16">
        <v>0</v>
      </c>
      <c r="N186" s="16">
        <v>0</v>
      </c>
      <c r="O186" s="16">
        <v>242</v>
      </c>
      <c r="P186" s="16">
        <v>0</v>
      </c>
      <c r="Q186" s="16">
        <v>10</v>
      </c>
      <c r="R186" s="16">
        <v>0</v>
      </c>
      <c r="S186" s="16">
        <v>0</v>
      </c>
      <c r="T186" s="16">
        <v>0</v>
      </c>
      <c r="U186" s="16">
        <v>0</v>
      </c>
      <c r="V186" s="16">
        <v>242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711</v>
      </c>
      <c r="AE186" s="16">
        <v>711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-1602</v>
      </c>
      <c r="AN186" s="16">
        <v>0</v>
      </c>
      <c r="AO186" s="16">
        <v>-1602</v>
      </c>
      <c r="AP186" s="16">
        <v>1602</v>
      </c>
      <c r="AQ186" s="5" t="s">
        <v>159</v>
      </c>
    </row>
    <row r="187" spans="1:43" x14ac:dyDescent="0.3">
      <c r="A187" s="9" t="s">
        <v>399</v>
      </c>
      <c r="B187" s="11" t="s">
        <v>398</v>
      </c>
      <c r="C187" s="16">
        <v>-762</v>
      </c>
      <c r="D187" s="16">
        <v>-415</v>
      </c>
      <c r="E187" s="16">
        <v>-70</v>
      </c>
      <c r="F187" s="16">
        <v>-97</v>
      </c>
      <c r="G187" s="16">
        <v>-42</v>
      </c>
      <c r="H187" s="16">
        <v>0</v>
      </c>
      <c r="I187" s="16">
        <v>115.85</v>
      </c>
      <c r="J187" s="16">
        <v>-907</v>
      </c>
      <c r="K187" s="16">
        <v>0</v>
      </c>
      <c r="L187" s="16">
        <v>-8</v>
      </c>
      <c r="M187" s="16">
        <v>0</v>
      </c>
      <c r="N187" s="16">
        <v>0</v>
      </c>
      <c r="O187" s="16">
        <v>-233</v>
      </c>
      <c r="P187" s="16">
        <v>0</v>
      </c>
      <c r="Q187" s="16">
        <v>-16</v>
      </c>
      <c r="R187" s="16">
        <v>0</v>
      </c>
      <c r="S187" s="16">
        <v>0</v>
      </c>
      <c r="T187" s="16">
        <v>0</v>
      </c>
      <c r="U187" s="16">
        <v>0</v>
      </c>
      <c r="V187" s="16">
        <v>-233</v>
      </c>
      <c r="W187" s="16">
        <v>-954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-14</v>
      </c>
      <c r="AD187" s="16">
        <v>-791</v>
      </c>
      <c r="AE187" s="16">
        <v>-791</v>
      </c>
      <c r="AF187" s="16">
        <v>-1400</v>
      </c>
      <c r="AG187" s="16">
        <v>-114</v>
      </c>
      <c r="AH187" s="16">
        <v>0</v>
      </c>
      <c r="AI187" s="16">
        <v>0</v>
      </c>
      <c r="AJ187" s="16">
        <v>0</v>
      </c>
      <c r="AK187" s="16">
        <v>-39</v>
      </c>
      <c r="AL187" s="16">
        <v>0</v>
      </c>
      <c r="AM187" s="16">
        <v>-801</v>
      </c>
      <c r="AN187" s="16">
        <v>0</v>
      </c>
      <c r="AO187" s="16">
        <v>-954</v>
      </c>
      <c r="AP187" s="16">
        <v>-446</v>
      </c>
      <c r="AQ187" s="5" t="s">
        <v>159</v>
      </c>
    </row>
    <row r="188" spans="1:43" x14ac:dyDescent="0.3">
      <c r="A188" s="9" t="s">
        <v>401</v>
      </c>
      <c r="B188" s="11" t="s">
        <v>400</v>
      </c>
      <c r="C188" s="16">
        <v>593</v>
      </c>
      <c r="D188" s="16">
        <v>323</v>
      </c>
      <c r="E188" s="16">
        <v>54</v>
      </c>
      <c r="F188" s="16">
        <v>76</v>
      </c>
      <c r="G188" s="16">
        <v>32</v>
      </c>
      <c r="H188" s="16">
        <v>0</v>
      </c>
      <c r="I188" s="16">
        <v>0</v>
      </c>
      <c r="J188" s="16">
        <v>23253</v>
      </c>
      <c r="K188" s="16">
        <v>0</v>
      </c>
      <c r="L188" s="16">
        <v>174</v>
      </c>
      <c r="M188" s="16">
        <v>0</v>
      </c>
      <c r="N188" s="16">
        <v>0</v>
      </c>
      <c r="O188" s="16">
        <v>42</v>
      </c>
      <c r="P188" s="16">
        <v>1000</v>
      </c>
      <c r="Q188" s="16">
        <v>-1.5</v>
      </c>
      <c r="R188" s="16">
        <v>0</v>
      </c>
      <c r="S188" s="16">
        <v>0</v>
      </c>
      <c r="T188" s="16">
        <v>0</v>
      </c>
      <c r="U188" s="16">
        <v>0</v>
      </c>
      <c r="V188" s="16">
        <v>42</v>
      </c>
      <c r="W188" s="16">
        <v>754.02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312</v>
      </c>
      <c r="AD188" s="16">
        <v>24253</v>
      </c>
      <c r="AE188" s="16">
        <v>24253</v>
      </c>
      <c r="AF188" s="16">
        <v>1390</v>
      </c>
      <c r="AG188" s="16">
        <v>91</v>
      </c>
      <c r="AH188" s="16">
        <v>0</v>
      </c>
      <c r="AI188" s="16">
        <v>0</v>
      </c>
      <c r="AJ188" s="16">
        <v>0</v>
      </c>
      <c r="AK188" s="16">
        <v>25</v>
      </c>
      <c r="AL188" s="16">
        <v>0</v>
      </c>
      <c r="AM188" s="16">
        <v>-2403</v>
      </c>
      <c r="AN188" s="16">
        <v>0</v>
      </c>
      <c r="AO188" s="16">
        <v>-2287</v>
      </c>
      <c r="AP188" s="16">
        <v>3677</v>
      </c>
      <c r="AQ188" s="5" t="s">
        <v>159</v>
      </c>
    </row>
    <row r="189" spans="1:43" x14ac:dyDescent="0.3">
      <c r="A189" s="9" t="s">
        <v>403</v>
      </c>
      <c r="B189" s="11" t="s">
        <v>402</v>
      </c>
      <c r="C189" s="16">
        <v>0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49</v>
      </c>
      <c r="P189" s="16">
        <v>0</v>
      </c>
      <c r="Q189" s="16">
        <v>2.5</v>
      </c>
      <c r="R189" s="16">
        <v>0</v>
      </c>
      <c r="S189" s="16">
        <v>0</v>
      </c>
      <c r="T189" s="16">
        <v>0</v>
      </c>
      <c r="U189" s="16">
        <v>0</v>
      </c>
      <c r="V189" s="16">
        <v>49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6">
        <v>-2403</v>
      </c>
      <c r="AN189" s="16">
        <v>0</v>
      </c>
      <c r="AO189" s="16">
        <v>-2403</v>
      </c>
      <c r="AP189" s="16">
        <v>2403</v>
      </c>
      <c r="AQ189" s="5" t="s">
        <v>159</v>
      </c>
    </row>
    <row r="190" spans="1:43" x14ac:dyDescent="0.3">
      <c r="A190" s="9" t="s">
        <v>405</v>
      </c>
      <c r="B190" s="11" t="s">
        <v>404</v>
      </c>
      <c r="C190" s="16">
        <v>0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96</v>
      </c>
      <c r="P190" s="16">
        <v>0</v>
      </c>
      <c r="Q190" s="16">
        <v>1.5</v>
      </c>
      <c r="R190" s="16">
        <v>0</v>
      </c>
      <c r="S190" s="16">
        <v>0</v>
      </c>
      <c r="T190" s="16">
        <v>0</v>
      </c>
      <c r="U190" s="16">
        <v>0</v>
      </c>
      <c r="V190" s="16">
        <v>96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-852</v>
      </c>
      <c r="AK190" s="16">
        <v>0</v>
      </c>
      <c r="AL190" s="16">
        <v>0</v>
      </c>
      <c r="AM190" s="16">
        <v>-5607</v>
      </c>
      <c r="AN190" s="16">
        <v>0</v>
      </c>
      <c r="AO190" s="16">
        <v>-6459</v>
      </c>
      <c r="AP190" s="16">
        <v>6459</v>
      </c>
      <c r="AQ190" s="5" t="s">
        <v>159</v>
      </c>
    </row>
    <row r="191" spans="1:43" x14ac:dyDescent="0.3">
      <c r="A191" s="9" t="s">
        <v>407</v>
      </c>
      <c r="B191" s="11" t="s">
        <v>406</v>
      </c>
      <c r="C191" s="16">
        <v>0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192.31</v>
      </c>
      <c r="J191" s="16">
        <v>-1741</v>
      </c>
      <c r="K191" s="16">
        <v>0</v>
      </c>
      <c r="L191" s="16">
        <v>-16</v>
      </c>
      <c r="M191" s="16">
        <v>0</v>
      </c>
      <c r="N191" s="16">
        <v>0</v>
      </c>
      <c r="O191" s="16">
        <v>138</v>
      </c>
      <c r="P191" s="16">
        <v>-500</v>
      </c>
      <c r="Q191" s="16">
        <v>10</v>
      </c>
      <c r="R191" s="16">
        <v>0</v>
      </c>
      <c r="S191" s="16">
        <v>0</v>
      </c>
      <c r="T191" s="16">
        <v>0</v>
      </c>
      <c r="U191" s="16">
        <v>0</v>
      </c>
      <c r="V191" s="16">
        <v>138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-2049</v>
      </c>
      <c r="AE191" s="16">
        <v>-2049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-2403</v>
      </c>
      <c r="AN191" s="16">
        <v>0</v>
      </c>
      <c r="AO191" s="16">
        <v>-2403</v>
      </c>
      <c r="AP191" s="16">
        <v>2403</v>
      </c>
      <c r="AQ191" s="5" t="s">
        <v>159</v>
      </c>
    </row>
    <row r="192" spans="1:43" x14ac:dyDescent="0.3">
      <c r="A192" s="9" t="s">
        <v>409</v>
      </c>
      <c r="B192" s="11" t="s">
        <v>408</v>
      </c>
      <c r="C192" s="16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-725</v>
      </c>
      <c r="K192" s="16">
        <v>0</v>
      </c>
      <c r="L192" s="16">
        <v>-4.5</v>
      </c>
      <c r="M192" s="16">
        <v>0</v>
      </c>
      <c r="N192" s="16">
        <v>0</v>
      </c>
      <c r="O192" s="16">
        <v>53</v>
      </c>
      <c r="P192" s="16">
        <v>-500</v>
      </c>
      <c r="Q192" s="16">
        <v>2.5</v>
      </c>
      <c r="R192" s="16">
        <v>0</v>
      </c>
      <c r="S192" s="16">
        <v>0</v>
      </c>
      <c r="T192" s="16">
        <v>0</v>
      </c>
      <c r="U192" s="16">
        <v>0</v>
      </c>
      <c r="V192" s="16">
        <v>53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-1225</v>
      </c>
      <c r="AE192" s="16">
        <v>-1225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6">
        <v>-1602</v>
      </c>
      <c r="AN192" s="16">
        <v>0</v>
      </c>
      <c r="AO192" s="16">
        <v>-1602</v>
      </c>
      <c r="AP192" s="16">
        <v>1602</v>
      </c>
      <c r="AQ192" s="5" t="s">
        <v>159</v>
      </c>
    </row>
    <row r="193" spans="1:43" x14ac:dyDescent="0.3">
      <c r="A193" s="9" t="s">
        <v>411</v>
      </c>
      <c r="B193" s="11" t="s">
        <v>410</v>
      </c>
      <c r="C193" s="16">
        <v>0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4765</v>
      </c>
      <c r="K193" s="16">
        <v>0</v>
      </c>
      <c r="L193" s="16">
        <v>32</v>
      </c>
      <c r="M193" s="16">
        <v>0</v>
      </c>
      <c r="N193" s="16">
        <v>0</v>
      </c>
      <c r="O193" s="16">
        <v>211</v>
      </c>
      <c r="P193" s="16">
        <v>0</v>
      </c>
      <c r="Q193" s="16">
        <v>10</v>
      </c>
      <c r="R193" s="16">
        <v>0</v>
      </c>
      <c r="S193" s="16">
        <v>0</v>
      </c>
      <c r="T193" s="16">
        <v>0</v>
      </c>
      <c r="U193" s="16">
        <v>0</v>
      </c>
      <c r="V193" s="16">
        <v>211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4765</v>
      </c>
      <c r="AE193" s="16">
        <v>4765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-2403</v>
      </c>
      <c r="AN193" s="16">
        <v>0</v>
      </c>
      <c r="AO193" s="16">
        <v>-2403</v>
      </c>
      <c r="AP193" s="16">
        <v>2403</v>
      </c>
      <c r="AQ193" s="5" t="s">
        <v>159</v>
      </c>
    </row>
    <row r="194" spans="1:43" x14ac:dyDescent="0.3">
      <c r="A194" s="9" t="s">
        <v>413</v>
      </c>
      <c r="B194" s="11" t="s">
        <v>412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-4806</v>
      </c>
      <c r="AN194" s="16">
        <v>0</v>
      </c>
      <c r="AO194" s="16">
        <v>-4806</v>
      </c>
      <c r="AP194" s="16">
        <v>4806</v>
      </c>
      <c r="AQ194" s="5" t="s">
        <v>159</v>
      </c>
    </row>
    <row r="195" spans="1:43" x14ac:dyDescent="0.3">
      <c r="A195" s="9" t="s">
        <v>415</v>
      </c>
      <c r="B195" s="11" t="s">
        <v>414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278</v>
      </c>
      <c r="P195" s="16">
        <v>0</v>
      </c>
      <c r="Q195" s="16">
        <v>10</v>
      </c>
      <c r="R195" s="16">
        <v>0</v>
      </c>
      <c r="S195" s="16">
        <v>0</v>
      </c>
      <c r="T195" s="16">
        <v>0</v>
      </c>
      <c r="U195" s="16">
        <v>0</v>
      </c>
      <c r="V195" s="16">
        <v>278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-3204</v>
      </c>
      <c r="AN195" s="16">
        <v>0</v>
      </c>
      <c r="AO195" s="16">
        <v>-3204</v>
      </c>
      <c r="AP195" s="16">
        <v>3204</v>
      </c>
      <c r="AQ195" s="5" t="s">
        <v>159</v>
      </c>
    </row>
    <row r="196" spans="1:43" x14ac:dyDescent="0.3">
      <c r="A196" s="9" t="s">
        <v>417</v>
      </c>
      <c r="B196" s="11" t="s">
        <v>416</v>
      </c>
      <c r="C196" s="16">
        <v>0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34</v>
      </c>
      <c r="P196" s="16">
        <v>0</v>
      </c>
      <c r="Q196" s="16">
        <v>0.5</v>
      </c>
      <c r="R196" s="16">
        <v>0</v>
      </c>
      <c r="S196" s="16">
        <v>0</v>
      </c>
      <c r="T196" s="16">
        <v>0</v>
      </c>
      <c r="U196" s="16">
        <v>0</v>
      </c>
      <c r="V196" s="16">
        <v>34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-9313</v>
      </c>
      <c r="AK196" s="16">
        <v>0</v>
      </c>
      <c r="AL196" s="16">
        <v>0</v>
      </c>
      <c r="AM196" s="16">
        <v>-4275.8999999999996</v>
      </c>
      <c r="AN196" s="16">
        <v>0</v>
      </c>
      <c r="AO196" s="16">
        <v>-13588.9</v>
      </c>
      <c r="AP196" s="16">
        <v>13589</v>
      </c>
      <c r="AQ196" s="5" t="s">
        <v>159</v>
      </c>
    </row>
    <row r="197" spans="1:43" x14ac:dyDescent="0.3">
      <c r="A197" s="9" t="s">
        <v>419</v>
      </c>
      <c r="B197" s="11" t="s">
        <v>418</v>
      </c>
      <c r="C197" s="16">
        <v>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75</v>
      </c>
      <c r="P197" s="16">
        <v>0</v>
      </c>
      <c r="Q197" s="16">
        <v>2</v>
      </c>
      <c r="R197" s="16">
        <v>0</v>
      </c>
      <c r="S197" s="16">
        <v>0</v>
      </c>
      <c r="T197" s="16">
        <v>0</v>
      </c>
      <c r="U197" s="16">
        <v>0</v>
      </c>
      <c r="V197" s="16">
        <v>75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-2403</v>
      </c>
      <c r="AN197" s="16">
        <v>0</v>
      </c>
      <c r="AO197" s="16">
        <v>-2403</v>
      </c>
      <c r="AP197" s="16">
        <v>2403</v>
      </c>
      <c r="AQ197" s="5" t="s">
        <v>159</v>
      </c>
    </row>
    <row r="198" spans="1:43" x14ac:dyDescent="0.3">
      <c r="A198" s="9" t="s">
        <v>421</v>
      </c>
      <c r="B198" s="11" t="s">
        <v>420</v>
      </c>
      <c r="C198" s="16">
        <v>187</v>
      </c>
      <c r="D198" s="16">
        <v>102</v>
      </c>
      <c r="E198" s="16">
        <v>17</v>
      </c>
      <c r="F198" s="16">
        <v>24</v>
      </c>
      <c r="G198" s="16">
        <v>10</v>
      </c>
      <c r="H198" s="16">
        <v>1000</v>
      </c>
      <c r="I198" s="16">
        <v>0</v>
      </c>
      <c r="J198" s="16">
        <v>-3868</v>
      </c>
      <c r="K198" s="16">
        <v>0</v>
      </c>
      <c r="L198" s="16">
        <v>-38.5</v>
      </c>
      <c r="M198" s="16">
        <v>0</v>
      </c>
      <c r="N198" s="16">
        <v>-500</v>
      </c>
      <c r="O198" s="16">
        <v>125</v>
      </c>
      <c r="P198" s="16">
        <v>-500</v>
      </c>
      <c r="Q198" s="16">
        <v>10</v>
      </c>
      <c r="R198" s="16">
        <v>0</v>
      </c>
      <c r="S198" s="16">
        <v>0</v>
      </c>
      <c r="T198" s="16">
        <v>0</v>
      </c>
      <c r="U198" s="16">
        <v>0</v>
      </c>
      <c r="V198" s="16">
        <v>125</v>
      </c>
      <c r="W198" s="16">
        <v>238</v>
      </c>
      <c r="X198" s="16">
        <v>-1000</v>
      </c>
      <c r="Y198" s="16">
        <v>-7.5</v>
      </c>
      <c r="Z198" s="16">
        <v>-32.5</v>
      </c>
      <c r="AA198" s="16">
        <v>-967.5</v>
      </c>
      <c r="AB198" s="16">
        <v>0</v>
      </c>
      <c r="AC198" s="16">
        <v>51</v>
      </c>
      <c r="AD198" s="16">
        <v>-3868</v>
      </c>
      <c r="AE198" s="16">
        <v>-3868</v>
      </c>
      <c r="AF198" s="16">
        <v>391</v>
      </c>
      <c r="AG198" s="16">
        <v>29</v>
      </c>
      <c r="AH198" s="16">
        <v>0</v>
      </c>
      <c r="AI198" s="16">
        <v>0</v>
      </c>
      <c r="AJ198" s="16">
        <v>0</v>
      </c>
      <c r="AK198" s="16">
        <v>11</v>
      </c>
      <c r="AL198" s="16">
        <v>0</v>
      </c>
      <c r="AM198" s="16">
        <v>-2403</v>
      </c>
      <c r="AN198" s="16">
        <v>0</v>
      </c>
      <c r="AO198" s="16">
        <v>-2363</v>
      </c>
      <c r="AP198" s="16">
        <v>2754</v>
      </c>
      <c r="AQ198" s="5" t="s">
        <v>159</v>
      </c>
    </row>
    <row r="199" spans="1:43" x14ac:dyDescent="0.3">
      <c r="A199" s="9" t="s">
        <v>423</v>
      </c>
      <c r="B199" s="11" t="s">
        <v>422</v>
      </c>
      <c r="C199" s="16">
        <v>-3633</v>
      </c>
      <c r="D199" s="16">
        <v>-1982</v>
      </c>
      <c r="E199" s="16">
        <v>-330</v>
      </c>
      <c r="F199" s="16">
        <v>-462</v>
      </c>
      <c r="G199" s="16">
        <v>-198</v>
      </c>
      <c r="H199" s="16">
        <v>0</v>
      </c>
      <c r="I199" s="16">
        <v>76.62</v>
      </c>
      <c r="J199" s="16">
        <v>0</v>
      </c>
      <c r="K199" s="16">
        <v>-6605</v>
      </c>
      <c r="L199" s="16">
        <v>0</v>
      </c>
      <c r="M199" s="16">
        <v>0</v>
      </c>
      <c r="N199" s="16">
        <v>0</v>
      </c>
      <c r="O199" s="16">
        <v>-155</v>
      </c>
      <c r="P199" s="16">
        <v>0</v>
      </c>
      <c r="Q199" s="16">
        <v>15</v>
      </c>
      <c r="R199" s="16">
        <v>0</v>
      </c>
      <c r="S199" s="16">
        <v>3</v>
      </c>
      <c r="T199" s="16">
        <v>-1</v>
      </c>
      <c r="U199" s="16">
        <v>-5</v>
      </c>
      <c r="V199" s="16">
        <v>-154</v>
      </c>
      <c r="W199" s="16">
        <v>-4623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77</v>
      </c>
      <c r="AE199" s="16">
        <v>77</v>
      </c>
      <c r="AF199" s="16">
        <v>-6605</v>
      </c>
      <c r="AG199" s="16">
        <v>-555</v>
      </c>
      <c r="AH199" s="16">
        <v>-49</v>
      </c>
      <c r="AI199" s="16">
        <v>0</v>
      </c>
      <c r="AJ199" s="16">
        <v>0</v>
      </c>
      <c r="AK199" s="16">
        <v>-192</v>
      </c>
      <c r="AL199" s="16">
        <v>0</v>
      </c>
      <c r="AM199" s="16">
        <v>0</v>
      </c>
      <c r="AN199" s="16">
        <v>0</v>
      </c>
      <c r="AO199" s="16">
        <v>-796</v>
      </c>
      <c r="AP199" s="16">
        <v>-5809</v>
      </c>
      <c r="AQ199" s="5" t="s">
        <v>159</v>
      </c>
    </row>
    <row r="200" spans="1:43" x14ac:dyDescent="0.3">
      <c r="A200" s="9" t="s">
        <v>425</v>
      </c>
      <c r="B200" s="11" t="s">
        <v>424</v>
      </c>
      <c r="C200" s="16">
        <v>407</v>
      </c>
      <c r="D200" s="16">
        <v>222</v>
      </c>
      <c r="E200" s="16">
        <v>37</v>
      </c>
      <c r="F200" s="16">
        <v>52</v>
      </c>
      <c r="G200" s="16">
        <v>22</v>
      </c>
      <c r="H200" s="16">
        <v>1000</v>
      </c>
      <c r="I200" s="16">
        <v>0</v>
      </c>
      <c r="J200" s="16">
        <v>-5476</v>
      </c>
      <c r="K200" s="16">
        <v>740</v>
      </c>
      <c r="L200" s="16">
        <v>-50</v>
      </c>
      <c r="M200" s="16">
        <v>0</v>
      </c>
      <c r="N200" s="16">
        <v>-1000</v>
      </c>
      <c r="O200" s="16">
        <v>36</v>
      </c>
      <c r="P200" s="16">
        <v>-1000</v>
      </c>
      <c r="Q200" s="16">
        <v>0</v>
      </c>
      <c r="R200" s="16">
        <v>-48</v>
      </c>
      <c r="S200" s="16">
        <v>-210</v>
      </c>
      <c r="T200" s="16">
        <v>0</v>
      </c>
      <c r="U200" s="16">
        <v>1</v>
      </c>
      <c r="V200" s="16">
        <v>36</v>
      </c>
      <c r="W200" s="16">
        <v>518</v>
      </c>
      <c r="X200" s="16">
        <v>-2000</v>
      </c>
      <c r="Y200" s="16">
        <v>-15</v>
      </c>
      <c r="Z200" s="16">
        <v>-65</v>
      </c>
      <c r="AA200" s="16">
        <v>-1935</v>
      </c>
      <c r="AB200" s="16">
        <v>0</v>
      </c>
      <c r="AC200" s="16">
        <v>0</v>
      </c>
      <c r="AD200" s="16">
        <v>-6476</v>
      </c>
      <c r="AE200" s="16">
        <v>-6428</v>
      </c>
      <c r="AF200" s="16">
        <v>740</v>
      </c>
      <c r="AG200" s="16">
        <v>62</v>
      </c>
      <c r="AH200" s="16">
        <v>6</v>
      </c>
      <c r="AI200" s="16">
        <v>0</v>
      </c>
      <c r="AJ200" s="16">
        <v>0</v>
      </c>
      <c r="AK200" s="16">
        <v>21</v>
      </c>
      <c r="AL200" s="16">
        <v>0</v>
      </c>
      <c r="AM200" s="16">
        <v>0</v>
      </c>
      <c r="AN200" s="16">
        <v>0</v>
      </c>
      <c r="AO200" s="16">
        <v>89</v>
      </c>
      <c r="AP200" s="16">
        <v>651</v>
      </c>
      <c r="AQ200" s="5" t="s">
        <v>159</v>
      </c>
    </row>
    <row r="201" spans="1:43" x14ac:dyDescent="0.3">
      <c r="A201" s="9" t="s">
        <v>427</v>
      </c>
      <c r="B201" s="11" t="s">
        <v>426</v>
      </c>
      <c r="C201" s="16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174</v>
      </c>
      <c r="P201" s="16">
        <v>0</v>
      </c>
      <c r="Q201" s="16">
        <v>4.5</v>
      </c>
      <c r="R201" s="16">
        <v>0</v>
      </c>
      <c r="S201" s="16">
        <v>0</v>
      </c>
      <c r="T201" s="16">
        <v>0</v>
      </c>
      <c r="U201" s="16">
        <v>0</v>
      </c>
      <c r="V201" s="16">
        <v>174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-2403</v>
      </c>
      <c r="AN201" s="16">
        <v>0</v>
      </c>
      <c r="AO201" s="16">
        <v>-2403</v>
      </c>
      <c r="AP201" s="16">
        <v>2403</v>
      </c>
      <c r="AQ201" s="5" t="s">
        <v>159</v>
      </c>
    </row>
    <row r="202" spans="1:43" x14ac:dyDescent="0.3">
      <c r="A202" s="9" t="s">
        <v>429</v>
      </c>
      <c r="B202" s="11" t="s">
        <v>428</v>
      </c>
      <c r="C202" s="16">
        <v>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-236</v>
      </c>
      <c r="P202" s="16">
        <v>0</v>
      </c>
      <c r="Q202" s="16">
        <v>-10</v>
      </c>
      <c r="R202" s="16">
        <v>0</v>
      </c>
      <c r="S202" s="16">
        <v>0</v>
      </c>
      <c r="T202" s="16">
        <v>0</v>
      </c>
      <c r="U202" s="16">
        <v>0</v>
      </c>
      <c r="V202" s="16">
        <v>-236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-2403</v>
      </c>
      <c r="AN202" s="16">
        <v>0</v>
      </c>
      <c r="AO202" s="16">
        <v>-2403</v>
      </c>
      <c r="AP202" s="16">
        <v>2403</v>
      </c>
      <c r="AQ202" s="5" t="s">
        <v>159</v>
      </c>
    </row>
    <row r="203" spans="1:43" x14ac:dyDescent="0.3">
      <c r="A203" s="9" t="s">
        <v>431</v>
      </c>
      <c r="B203" s="11" t="s">
        <v>430</v>
      </c>
      <c r="C203" s="16">
        <v>0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-17</v>
      </c>
      <c r="P203" s="16">
        <v>0</v>
      </c>
      <c r="Q203" s="16">
        <v>-0.5</v>
      </c>
      <c r="R203" s="16">
        <v>0</v>
      </c>
      <c r="S203" s="16">
        <v>0</v>
      </c>
      <c r="T203" s="16">
        <v>0</v>
      </c>
      <c r="U203" s="16">
        <v>0</v>
      </c>
      <c r="V203" s="16">
        <v>-17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  <c r="AI203" s="16">
        <v>0</v>
      </c>
      <c r="AJ203" s="16">
        <v>0</v>
      </c>
      <c r="AK203" s="16">
        <v>0</v>
      </c>
      <c r="AL203" s="16">
        <v>0</v>
      </c>
      <c r="AM203" s="16">
        <v>-2403</v>
      </c>
      <c r="AN203" s="16">
        <v>0</v>
      </c>
      <c r="AO203" s="16">
        <v>-2403</v>
      </c>
      <c r="AP203" s="16">
        <v>2403</v>
      </c>
      <c r="AQ203" s="5" t="s">
        <v>159</v>
      </c>
    </row>
    <row r="204" spans="1:43" x14ac:dyDescent="0.3">
      <c r="A204" s="9" t="s">
        <v>433</v>
      </c>
      <c r="B204" s="11" t="s">
        <v>432</v>
      </c>
      <c r="C204" s="16">
        <v>0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16">
        <v>0</v>
      </c>
      <c r="AK204" s="16">
        <v>0</v>
      </c>
      <c r="AL204" s="16">
        <v>0</v>
      </c>
      <c r="AM204" s="16">
        <v>-1602</v>
      </c>
      <c r="AN204" s="16">
        <v>0</v>
      </c>
      <c r="AO204" s="16">
        <v>-1602</v>
      </c>
      <c r="AP204" s="16">
        <v>1602</v>
      </c>
      <c r="AQ204" s="5" t="s">
        <v>159</v>
      </c>
    </row>
    <row r="205" spans="1:43" x14ac:dyDescent="0.3">
      <c r="A205" s="9" t="s">
        <v>435</v>
      </c>
      <c r="B205" s="11" t="s">
        <v>434</v>
      </c>
      <c r="C205" s="16">
        <v>0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-27</v>
      </c>
      <c r="P205" s="16">
        <v>0</v>
      </c>
      <c r="Q205" s="16">
        <v>-0.5</v>
      </c>
      <c r="R205" s="16">
        <v>0</v>
      </c>
      <c r="S205" s="16">
        <v>0</v>
      </c>
      <c r="T205" s="16">
        <v>0</v>
      </c>
      <c r="U205" s="16">
        <v>0</v>
      </c>
      <c r="V205" s="16">
        <v>-27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  <c r="AI205" s="16">
        <v>0</v>
      </c>
      <c r="AJ205" s="16">
        <v>-2115</v>
      </c>
      <c r="AK205" s="16">
        <v>0</v>
      </c>
      <c r="AL205" s="16">
        <v>0</v>
      </c>
      <c r="AM205" s="16">
        <v>-4005</v>
      </c>
      <c r="AN205" s="16">
        <v>0</v>
      </c>
      <c r="AO205" s="16">
        <v>-6120</v>
      </c>
      <c r="AP205" s="16">
        <v>6120</v>
      </c>
      <c r="AQ205" s="5" t="s">
        <v>159</v>
      </c>
    </row>
    <row r="206" spans="1:43" x14ac:dyDescent="0.3">
      <c r="A206" s="9" t="s">
        <v>437</v>
      </c>
      <c r="B206" s="11" t="s">
        <v>436</v>
      </c>
      <c r="C206" s="16">
        <v>0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908</v>
      </c>
      <c r="K206" s="16">
        <v>0</v>
      </c>
      <c r="L206" s="16">
        <v>8</v>
      </c>
      <c r="M206" s="16">
        <v>0</v>
      </c>
      <c r="N206" s="16">
        <v>0</v>
      </c>
      <c r="O206" s="16">
        <v>133</v>
      </c>
      <c r="P206" s="16">
        <v>0</v>
      </c>
      <c r="Q206" s="16">
        <v>10</v>
      </c>
      <c r="R206" s="16">
        <v>0</v>
      </c>
      <c r="S206" s="16">
        <v>0</v>
      </c>
      <c r="T206" s="16">
        <v>0</v>
      </c>
      <c r="U206" s="16">
        <v>0</v>
      </c>
      <c r="V206" s="16">
        <v>133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908</v>
      </c>
      <c r="AE206" s="16">
        <v>908</v>
      </c>
      <c r="AF206" s="16">
        <v>0</v>
      </c>
      <c r="AG206" s="16">
        <v>0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-1602</v>
      </c>
      <c r="AN206" s="16">
        <v>0</v>
      </c>
      <c r="AO206" s="16">
        <v>-1602</v>
      </c>
      <c r="AP206" s="16">
        <v>1602</v>
      </c>
      <c r="AQ206" s="5" t="s">
        <v>159</v>
      </c>
    </row>
    <row r="207" spans="1:43" x14ac:dyDescent="0.3">
      <c r="A207" s="9" t="s">
        <v>439</v>
      </c>
      <c r="B207" s="11" t="s">
        <v>438</v>
      </c>
      <c r="C207" s="16">
        <v>393</v>
      </c>
      <c r="D207" s="16">
        <v>214</v>
      </c>
      <c r="E207" s="16">
        <v>36</v>
      </c>
      <c r="F207" s="16">
        <v>50</v>
      </c>
      <c r="G207" s="16">
        <v>21</v>
      </c>
      <c r="H207" s="16">
        <v>1000</v>
      </c>
      <c r="I207" s="16">
        <v>-19.23</v>
      </c>
      <c r="J207" s="16">
        <v>2115</v>
      </c>
      <c r="K207" s="16">
        <v>714</v>
      </c>
      <c r="L207" s="16">
        <v>20</v>
      </c>
      <c r="M207" s="16">
        <v>0</v>
      </c>
      <c r="N207" s="16">
        <v>0</v>
      </c>
      <c r="O207" s="16">
        <v>121</v>
      </c>
      <c r="P207" s="16">
        <v>500</v>
      </c>
      <c r="Q207" s="16">
        <v>9</v>
      </c>
      <c r="R207" s="16">
        <v>27</v>
      </c>
      <c r="S207" s="16">
        <v>117</v>
      </c>
      <c r="T207" s="16">
        <v>1</v>
      </c>
      <c r="U207" s="16">
        <v>4</v>
      </c>
      <c r="V207" s="16">
        <v>120</v>
      </c>
      <c r="W207" s="16">
        <v>500</v>
      </c>
      <c r="X207" s="16">
        <v>500</v>
      </c>
      <c r="Y207" s="16">
        <v>3.75</v>
      </c>
      <c r="Z207" s="16">
        <v>16.25</v>
      </c>
      <c r="AA207" s="16">
        <v>483.75</v>
      </c>
      <c r="AB207" s="16">
        <v>0</v>
      </c>
      <c r="AC207" s="16">
        <v>0</v>
      </c>
      <c r="AD207" s="16">
        <v>3596</v>
      </c>
      <c r="AE207" s="16">
        <v>3569</v>
      </c>
      <c r="AF207" s="16">
        <v>714</v>
      </c>
      <c r="AG207" s="16">
        <v>60</v>
      </c>
      <c r="AH207" s="16">
        <v>5</v>
      </c>
      <c r="AI207" s="16">
        <v>0</v>
      </c>
      <c r="AJ207" s="16">
        <v>0</v>
      </c>
      <c r="AK207" s="16">
        <v>21</v>
      </c>
      <c r="AL207" s="16">
        <v>0</v>
      </c>
      <c r="AM207" s="16">
        <v>0</v>
      </c>
      <c r="AN207" s="16">
        <v>0</v>
      </c>
      <c r="AO207" s="16">
        <v>86</v>
      </c>
      <c r="AP207" s="16">
        <v>628</v>
      </c>
      <c r="AQ207" s="5" t="s">
        <v>159</v>
      </c>
    </row>
    <row r="208" spans="1:43" x14ac:dyDescent="0.3">
      <c r="A208" s="9" t="s">
        <v>441</v>
      </c>
      <c r="B208" s="11" t="s">
        <v>440</v>
      </c>
      <c r="C208" s="16">
        <v>0</v>
      </c>
      <c r="D208" s="16">
        <v>0</v>
      </c>
      <c r="E208" s="16">
        <v>0</v>
      </c>
      <c r="F208" s="16">
        <v>0</v>
      </c>
      <c r="G208" s="16">
        <v>0</v>
      </c>
      <c r="H208" s="16">
        <v>-1000</v>
      </c>
      <c r="I208" s="16">
        <v>0</v>
      </c>
      <c r="J208" s="16">
        <v>-1259</v>
      </c>
      <c r="K208" s="16">
        <v>0</v>
      </c>
      <c r="L208" s="16">
        <v>-12</v>
      </c>
      <c r="M208" s="16">
        <v>0</v>
      </c>
      <c r="N208" s="16">
        <v>0</v>
      </c>
      <c r="O208" s="16">
        <v>131</v>
      </c>
      <c r="P208" s="16">
        <v>0</v>
      </c>
      <c r="Q208" s="16">
        <v>10</v>
      </c>
      <c r="R208" s="16">
        <v>0</v>
      </c>
      <c r="S208" s="16">
        <v>0</v>
      </c>
      <c r="T208" s="16">
        <v>0</v>
      </c>
      <c r="U208" s="16">
        <v>0</v>
      </c>
      <c r="V208" s="16">
        <v>131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-2259</v>
      </c>
      <c r="AE208" s="16">
        <v>-2259</v>
      </c>
      <c r="AF208" s="16">
        <v>0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-801</v>
      </c>
      <c r="AN208" s="16">
        <v>0</v>
      </c>
      <c r="AO208" s="16">
        <v>-801</v>
      </c>
      <c r="AP208" s="16">
        <v>801</v>
      </c>
      <c r="AQ208" s="5" t="s">
        <v>159</v>
      </c>
    </row>
    <row r="209" spans="1:43" x14ac:dyDescent="0.3">
      <c r="A209" s="9" t="s">
        <v>443</v>
      </c>
      <c r="B209" s="11" t="s">
        <v>442</v>
      </c>
      <c r="C209" s="16">
        <v>397</v>
      </c>
      <c r="D209" s="16">
        <v>216</v>
      </c>
      <c r="E209" s="16">
        <v>36</v>
      </c>
      <c r="F209" s="16">
        <v>51</v>
      </c>
      <c r="G209" s="16">
        <v>22</v>
      </c>
      <c r="H209" s="16">
        <v>0</v>
      </c>
      <c r="I209" s="16">
        <v>0</v>
      </c>
      <c r="J209" s="16">
        <v>3585</v>
      </c>
      <c r="K209" s="16">
        <v>830</v>
      </c>
      <c r="L209" s="16">
        <v>40</v>
      </c>
      <c r="M209" s="16">
        <v>0</v>
      </c>
      <c r="N209" s="16">
        <v>0</v>
      </c>
      <c r="O209" s="16">
        <v>-245</v>
      </c>
      <c r="P209" s="16">
        <v>0</v>
      </c>
      <c r="Q209" s="16">
        <v>-32.5</v>
      </c>
      <c r="R209" s="16">
        <v>27</v>
      </c>
      <c r="S209" s="16">
        <v>117</v>
      </c>
      <c r="T209" s="16">
        <v>-2</v>
      </c>
      <c r="U209" s="16">
        <v>-8</v>
      </c>
      <c r="V209" s="16">
        <v>-243</v>
      </c>
      <c r="W209" s="16">
        <v>506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108</v>
      </c>
      <c r="AD209" s="16">
        <v>3585</v>
      </c>
      <c r="AE209" s="16">
        <v>3558</v>
      </c>
      <c r="AF209" s="16">
        <v>830</v>
      </c>
      <c r="AG209" s="16">
        <v>61</v>
      </c>
      <c r="AH209" s="16">
        <v>6</v>
      </c>
      <c r="AI209" s="16">
        <v>0</v>
      </c>
      <c r="AJ209" s="16">
        <v>0</v>
      </c>
      <c r="AK209" s="16">
        <v>25</v>
      </c>
      <c r="AL209" s="16">
        <v>0</v>
      </c>
      <c r="AM209" s="16">
        <v>0</v>
      </c>
      <c r="AN209" s="16">
        <v>0</v>
      </c>
      <c r="AO209" s="16">
        <v>92</v>
      </c>
      <c r="AP209" s="16">
        <v>738</v>
      </c>
      <c r="AQ209" s="5" t="s">
        <v>159</v>
      </c>
    </row>
    <row r="210" spans="1:43" x14ac:dyDescent="0.3">
      <c r="A210" s="9" t="s">
        <v>445</v>
      </c>
      <c r="B210" s="11" t="s">
        <v>444</v>
      </c>
      <c r="C210" s="16">
        <v>72</v>
      </c>
      <c r="D210" s="16">
        <v>39</v>
      </c>
      <c r="E210" s="16">
        <v>7</v>
      </c>
      <c r="F210" s="16">
        <v>9</v>
      </c>
      <c r="G210" s="16">
        <v>4</v>
      </c>
      <c r="H210" s="16">
        <v>0</v>
      </c>
      <c r="I210" s="16">
        <v>346</v>
      </c>
      <c r="J210" s="16">
        <v>-804</v>
      </c>
      <c r="K210" s="16">
        <v>0</v>
      </c>
      <c r="L210" s="16">
        <v>-8</v>
      </c>
      <c r="M210" s="16">
        <v>0</v>
      </c>
      <c r="N210" s="16">
        <v>0</v>
      </c>
      <c r="O210" s="16">
        <v>112</v>
      </c>
      <c r="P210" s="16">
        <v>0</v>
      </c>
      <c r="Q210" s="16">
        <v>10</v>
      </c>
      <c r="R210" s="16">
        <v>0</v>
      </c>
      <c r="S210" s="16">
        <v>0</v>
      </c>
      <c r="T210" s="16">
        <v>0</v>
      </c>
      <c r="U210" s="16">
        <v>0</v>
      </c>
      <c r="V210" s="16">
        <v>112</v>
      </c>
      <c r="W210" s="16">
        <v>92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24</v>
      </c>
      <c r="AD210" s="16">
        <v>-458</v>
      </c>
      <c r="AE210" s="16">
        <v>-458</v>
      </c>
      <c r="AF210" s="16">
        <v>155</v>
      </c>
      <c r="AG210" s="16">
        <v>11</v>
      </c>
      <c r="AH210" s="16">
        <v>0</v>
      </c>
      <c r="AI210" s="16">
        <v>0</v>
      </c>
      <c r="AJ210" s="16">
        <v>0</v>
      </c>
      <c r="AK210" s="16">
        <v>4</v>
      </c>
      <c r="AL210" s="16">
        <v>0</v>
      </c>
      <c r="AM210" s="16">
        <v>0</v>
      </c>
      <c r="AN210" s="16">
        <v>0</v>
      </c>
      <c r="AO210" s="16">
        <v>15</v>
      </c>
      <c r="AP210" s="16">
        <v>140</v>
      </c>
      <c r="AQ210" s="5" t="s">
        <v>159</v>
      </c>
    </row>
    <row r="211" spans="1:43" x14ac:dyDescent="0.3">
      <c r="A211" s="9" t="s">
        <v>447</v>
      </c>
      <c r="B211" s="11" t="s">
        <v>446</v>
      </c>
      <c r="C211" s="16">
        <v>0</v>
      </c>
      <c r="D211" s="16">
        <v>0</v>
      </c>
      <c r="E211" s="16">
        <v>0</v>
      </c>
      <c r="F211" s="16">
        <v>0</v>
      </c>
      <c r="G211" s="16">
        <v>0</v>
      </c>
      <c r="H211" s="16">
        <v>1000</v>
      </c>
      <c r="I211" s="16">
        <v>894</v>
      </c>
      <c r="J211" s="16">
        <v>304</v>
      </c>
      <c r="K211" s="16">
        <v>0</v>
      </c>
      <c r="L211" s="16">
        <v>2.5</v>
      </c>
      <c r="M211" s="16">
        <v>0</v>
      </c>
      <c r="N211" s="16">
        <v>0</v>
      </c>
      <c r="O211" s="16">
        <v>79</v>
      </c>
      <c r="P211" s="16">
        <v>0</v>
      </c>
      <c r="Q211" s="16">
        <v>5.75</v>
      </c>
      <c r="R211" s="16">
        <v>0</v>
      </c>
      <c r="S211" s="16">
        <v>0</v>
      </c>
      <c r="T211" s="16">
        <v>0</v>
      </c>
      <c r="U211" s="16">
        <v>0</v>
      </c>
      <c r="V211" s="16">
        <v>79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2198</v>
      </c>
      <c r="AE211" s="16">
        <v>2198</v>
      </c>
      <c r="AF211" s="16">
        <v>0</v>
      </c>
      <c r="AG211" s="16">
        <v>0</v>
      </c>
      <c r="AH211" s="16">
        <v>0</v>
      </c>
      <c r="AI211" s="16">
        <v>0</v>
      </c>
      <c r="AJ211" s="16">
        <v>0</v>
      </c>
      <c r="AK211" s="16">
        <v>0</v>
      </c>
      <c r="AL211" s="16">
        <v>0</v>
      </c>
      <c r="AM211" s="16">
        <v>0</v>
      </c>
      <c r="AN211" s="16">
        <v>0</v>
      </c>
      <c r="AO211" s="16">
        <v>0</v>
      </c>
      <c r="AP211" s="16">
        <v>0</v>
      </c>
      <c r="AQ211" s="5" t="s">
        <v>159</v>
      </c>
    </row>
    <row r="212" spans="1:43" x14ac:dyDescent="0.3">
      <c r="A212" s="9" t="s">
        <v>449</v>
      </c>
      <c r="B212" s="11" t="s">
        <v>448</v>
      </c>
      <c r="C212" s="16">
        <v>0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929</v>
      </c>
      <c r="K212" s="16">
        <v>0</v>
      </c>
      <c r="L212" s="16">
        <v>4</v>
      </c>
      <c r="M212" s="16">
        <v>0</v>
      </c>
      <c r="N212" s="16">
        <v>0</v>
      </c>
      <c r="O212" s="16">
        <v>440</v>
      </c>
      <c r="P212" s="16">
        <v>0</v>
      </c>
      <c r="Q212" s="16">
        <v>14.5</v>
      </c>
      <c r="R212" s="16">
        <v>0</v>
      </c>
      <c r="S212" s="16">
        <v>0</v>
      </c>
      <c r="T212" s="16">
        <v>0</v>
      </c>
      <c r="U212" s="16">
        <v>0</v>
      </c>
      <c r="V212" s="16">
        <v>440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929</v>
      </c>
      <c r="AE212" s="16">
        <v>929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-3204</v>
      </c>
      <c r="AN212" s="16">
        <v>0</v>
      </c>
      <c r="AO212" s="16">
        <v>-3204</v>
      </c>
      <c r="AP212" s="16">
        <v>3204</v>
      </c>
      <c r="AQ212" s="5" t="s">
        <v>159</v>
      </c>
    </row>
    <row r="213" spans="1:43" x14ac:dyDescent="0.3">
      <c r="A213" s="9" t="s">
        <v>451</v>
      </c>
      <c r="B213" s="11" t="s">
        <v>450</v>
      </c>
      <c r="C213" s="16">
        <v>-4251</v>
      </c>
      <c r="D213" s="16">
        <v>-2319</v>
      </c>
      <c r="E213" s="16">
        <v>-386</v>
      </c>
      <c r="F213" s="16">
        <v>-541</v>
      </c>
      <c r="G213" s="16">
        <v>-232</v>
      </c>
      <c r="H213" s="16">
        <v>0</v>
      </c>
      <c r="I213" s="16">
        <v>-394.54</v>
      </c>
      <c r="J213" s="16">
        <v>-358</v>
      </c>
      <c r="K213" s="16">
        <v>-7729</v>
      </c>
      <c r="L213" s="16">
        <v>-4</v>
      </c>
      <c r="M213" s="16">
        <v>0</v>
      </c>
      <c r="N213" s="16">
        <v>0</v>
      </c>
      <c r="O213" s="16">
        <v>-276</v>
      </c>
      <c r="P213" s="16">
        <v>0</v>
      </c>
      <c r="Q213" s="16">
        <v>15</v>
      </c>
      <c r="R213" s="16">
        <v>-5</v>
      </c>
      <c r="S213" s="16">
        <v>-24</v>
      </c>
      <c r="T213" s="16">
        <v>-2</v>
      </c>
      <c r="U213" s="16">
        <v>-9</v>
      </c>
      <c r="V213" s="16">
        <v>-274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-753</v>
      </c>
      <c r="AE213" s="16">
        <v>-748</v>
      </c>
      <c r="AF213" s="16">
        <v>-7729</v>
      </c>
      <c r="AG213" s="16">
        <v>0</v>
      </c>
      <c r="AH213" s="16">
        <v>-58</v>
      </c>
      <c r="AI213" s="16">
        <v>-141</v>
      </c>
      <c r="AJ213" s="16">
        <v>0</v>
      </c>
      <c r="AK213" s="16">
        <v>-274</v>
      </c>
      <c r="AL213" s="16">
        <v>0</v>
      </c>
      <c r="AM213" s="16">
        <v>0</v>
      </c>
      <c r="AN213" s="16">
        <v>0</v>
      </c>
      <c r="AO213" s="16">
        <v>-473</v>
      </c>
      <c r="AP213" s="16">
        <v>-7256</v>
      </c>
      <c r="AQ213" s="5" t="s">
        <v>159</v>
      </c>
    </row>
    <row r="214" spans="1:43" x14ac:dyDescent="0.3">
      <c r="A214" s="9" t="s">
        <v>453</v>
      </c>
      <c r="B214" s="11" t="s">
        <v>452</v>
      </c>
      <c r="C214" s="16">
        <v>0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197</v>
      </c>
      <c r="P214" s="16">
        <v>0</v>
      </c>
      <c r="Q214" s="16">
        <v>6</v>
      </c>
      <c r="R214" s="16">
        <v>0</v>
      </c>
      <c r="S214" s="16">
        <v>0</v>
      </c>
      <c r="T214" s="16">
        <v>0</v>
      </c>
      <c r="U214" s="16">
        <v>0</v>
      </c>
      <c r="V214" s="16">
        <v>197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16">
        <v>0</v>
      </c>
      <c r="AK214" s="16">
        <v>0</v>
      </c>
      <c r="AL214" s="16">
        <v>0</v>
      </c>
      <c r="AM214" s="16">
        <v>-2403</v>
      </c>
      <c r="AN214" s="16">
        <v>0</v>
      </c>
      <c r="AO214" s="16">
        <v>-2403</v>
      </c>
      <c r="AP214" s="16">
        <v>2403</v>
      </c>
      <c r="AQ214" s="5" t="s">
        <v>159</v>
      </c>
    </row>
    <row r="215" spans="1:43" x14ac:dyDescent="0.3">
      <c r="A215" s="9" t="s">
        <v>454</v>
      </c>
      <c r="B215" s="11" t="s">
        <v>452</v>
      </c>
      <c r="C215" s="16">
        <v>1155</v>
      </c>
      <c r="D215" s="16">
        <v>630</v>
      </c>
      <c r="E215" s="16">
        <v>105</v>
      </c>
      <c r="F215" s="16">
        <v>147</v>
      </c>
      <c r="G215" s="16">
        <v>63</v>
      </c>
      <c r="H215" s="16">
        <v>0</v>
      </c>
      <c r="I215" s="16">
        <v>0</v>
      </c>
      <c r="J215" s="16">
        <v>6748</v>
      </c>
      <c r="K215" s="16">
        <v>2415</v>
      </c>
      <c r="L215" s="16">
        <v>76</v>
      </c>
      <c r="M215" s="16">
        <v>0</v>
      </c>
      <c r="N215" s="16">
        <v>500</v>
      </c>
      <c r="O215" s="16">
        <v>-186</v>
      </c>
      <c r="P215" s="16">
        <v>1000</v>
      </c>
      <c r="Q215" s="16">
        <v>-32.5</v>
      </c>
      <c r="R215" s="16">
        <v>62</v>
      </c>
      <c r="S215" s="16">
        <v>268</v>
      </c>
      <c r="T215" s="16">
        <v>-1</v>
      </c>
      <c r="U215" s="16">
        <v>-6</v>
      </c>
      <c r="V215" s="16">
        <v>-185</v>
      </c>
      <c r="W215" s="16">
        <v>1470</v>
      </c>
      <c r="X215" s="16">
        <v>1500</v>
      </c>
      <c r="Y215" s="16">
        <v>11.25</v>
      </c>
      <c r="Z215" s="16">
        <v>48.75</v>
      </c>
      <c r="AA215" s="16">
        <v>1451.25</v>
      </c>
      <c r="AB215" s="16">
        <v>0</v>
      </c>
      <c r="AC215" s="16">
        <v>315</v>
      </c>
      <c r="AD215" s="16">
        <v>8248</v>
      </c>
      <c r="AE215" s="16">
        <v>8186</v>
      </c>
      <c r="AF215" s="16">
        <v>2415</v>
      </c>
      <c r="AG215" s="16">
        <v>176</v>
      </c>
      <c r="AH215" s="16">
        <v>18</v>
      </c>
      <c r="AI215" s="16">
        <v>0</v>
      </c>
      <c r="AJ215" s="16">
        <v>0</v>
      </c>
      <c r="AK215" s="16">
        <v>75</v>
      </c>
      <c r="AL215" s="16">
        <v>0</v>
      </c>
      <c r="AM215" s="16">
        <v>0</v>
      </c>
      <c r="AN215" s="16">
        <v>0</v>
      </c>
      <c r="AO215" s="16">
        <v>269</v>
      </c>
      <c r="AP215" s="16">
        <v>2146</v>
      </c>
      <c r="AQ215" s="5" t="s">
        <v>159</v>
      </c>
    </row>
    <row r="216" spans="1:43" x14ac:dyDescent="0.3">
      <c r="A216" s="9" t="s">
        <v>456</v>
      </c>
      <c r="B216" s="11" t="s">
        <v>455</v>
      </c>
      <c r="C216" s="16">
        <v>0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57</v>
      </c>
      <c r="P216" s="16">
        <v>0</v>
      </c>
      <c r="Q216" s="16">
        <v>1</v>
      </c>
      <c r="R216" s="16">
        <v>0</v>
      </c>
      <c r="S216" s="16">
        <v>0</v>
      </c>
      <c r="T216" s="16">
        <v>0</v>
      </c>
      <c r="U216" s="16">
        <v>0</v>
      </c>
      <c r="V216" s="16">
        <v>57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201</v>
      </c>
      <c r="AK216" s="16">
        <v>0</v>
      </c>
      <c r="AL216" s="16">
        <v>0</v>
      </c>
      <c r="AM216" s="16">
        <v>-4005</v>
      </c>
      <c r="AN216" s="16">
        <v>0</v>
      </c>
      <c r="AO216" s="16">
        <v>-3804</v>
      </c>
      <c r="AP216" s="16">
        <v>3804</v>
      </c>
      <c r="AQ216" s="5" t="s">
        <v>159</v>
      </c>
    </row>
    <row r="217" spans="1:43" x14ac:dyDescent="0.3">
      <c r="A217" s="9" t="s">
        <v>458</v>
      </c>
      <c r="B217" s="11" t="s">
        <v>457</v>
      </c>
      <c r="C217" s="16">
        <v>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-113</v>
      </c>
      <c r="P217" s="16">
        <v>0</v>
      </c>
      <c r="Q217" s="16">
        <v>-5.5</v>
      </c>
      <c r="R217" s="16">
        <v>0</v>
      </c>
      <c r="S217" s="16">
        <v>0</v>
      </c>
      <c r="T217" s="16">
        <v>0</v>
      </c>
      <c r="U217" s="16">
        <v>0</v>
      </c>
      <c r="V217" s="16">
        <v>-113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0</v>
      </c>
      <c r="AI217" s="16">
        <v>0</v>
      </c>
      <c r="AJ217" s="16">
        <v>0</v>
      </c>
      <c r="AK217" s="16">
        <v>0</v>
      </c>
      <c r="AL217" s="16">
        <v>0</v>
      </c>
      <c r="AM217" s="16">
        <v>-1602</v>
      </c>
      <c r="AN217" s="16">
        <v>0</v>
      </c>
      <c r="AO217" s="16">
        <v>-1602</v>
      </c>
      <c r="AP217" s="16">
        <v>1602</v>
      </c>
      <c r="AQ217" s="5" t="s">
        <v>159</v>
      </c>
    </row>
    <row r="218" spans="1:43" x14ac:dyDescent="0.3">
      <c r="A218" s="9" t="s">
        <v>460</v>
      </c>
      <c r="B218" s="11" t="s">
        <v>459</v>
      </c>
      <c r="C218" s="16">
        <v>0</v>
      </c>
      <c r="D218" s="16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3961</v>
      </c>
      <c r="K218" s="16">
        <v>0</v>
      </c>
      <c r="L218" s="16">
        <v>35</v>
      </c>
      <c r="M218" s="16">
        <v>0</v>
      </c>
      <c r="N218" s="16">
        <v>0</v>
      </c>
      <c r="O218" s="16">
        <v>190</v>
      </c>
      <c r="P218" s="16">
        <v>500</v>
      </c>
      <c r="Q218" s="16">
        <v>7.5</v>
      </c>
      <c r="R218" s="16">
        <v>0</v>
      </c>
      <c r="S218" s="16">
        <v>0</v>
      </c>
      <c r="T218" s="16">
        <v>0</v>
      </c>
      <c r="U218" s="16">
        <v>0</v>
      </c>
      <c r="V218" s="16">
        <v>190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4461</v>
      </c>
      <c r="AE218" s="16">
        <v>4461</v>
      </c>
      <c r="AF218" s="16">
        <v>0</v>
      </c>
      <c r="AG218" s="16">
        <v>0</v>
      </c>
      <c r="AH218" s="16">
        <v>0</v>
      </c>
      <c r="AI218" s="16">
        <v>0</v>
      </c>
      <c r="AJ218" s="16">
        <v>0</v>
      </c>
      <c r="AK218" s="16">
        <v>0</v>
      </c>
      <c r="AL218" s="16">
        <v>0</v>
      </c>
      <c r="AM218" s="16">
        <v>-1602</v>
      </c>
      <c r="AN218" s="16">
        <v>0</v>
      </c>
      <c r="AO218" s="16">
        <v>-1602</v>
      </c>
      <c r="AP218" s="16">
        <v>1602</v>
      </c>
      <c r="AQ218" s="5" t="s">
        <v>159</v>
      </c>
    </row>
    <row r="219" spans="1:43" x14ac:dyDescent="0.3">
      <c r="A219" s="9" t="s">
        <v>462</v>
      </c>
      <c r="B219" s="11" t="s">
        <v>461</v>
      </c>
      <c r="C219" s="16">
        <v>-8438</v>
      </c>
      <c r="D219" s="16">
        <v>-4602</v>
      </c>
      <c r="E219" s="16">
        <v>-767</v>
      </c>
      <c r="F219" s="16">
        <v>-1074</v>
      </c>
      <c r="G219" s="16">
        <v>-460</v>
      </c>
      <c r="H219" s="16">
        <v>0</v>
      </c>
      <c r="I219" s="16">
        <v>0</v>
      </c>
      <c r="J219" s="16">
        <v>-1894</v>
      </c>
      <c r="K219" s="16">
        <v>0</v>
      </c>
      <c r="L219" s="16">
        <v>-17</v>
      </c>
      <c r="M219" s="16">
        <v>0</v>
      </c>
      <c r="N219" s="16">
        <v>0</v>
      </c>
      <c r="O219" s="16">
        <v>-624</v>
      </c>
      <c r="P219" s="16">
        <v>0</v>
      </c>
      <c r="Q219" s="16">
        <v>20</v>
      </c>
      <c r="R219" s="16">
        <v>0</v>
      </c>
      <c r="S219" s="16">
        <v>0</v>
      </c>
      <c r="T219" s="16">
        <v>0</v>
      </c>
      <c r="U219" s="16">
        <v>0</v>
      </c>
      <c r="V219" s="16">
        <v>-624</v>
      </c>
      <c r="W219" s="16">
        <v>-10739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6">
        <v>-1841</v>
      </c>
      <c r="AD219" s="16">
        <v>-1894</v>
      </c>
      <c r="AE219" s="16">
        <v>-1894</v>
      </c>
      <c r="AF219" s="16">
        <v>-17182</v>
      </c>
      <c r="AG219" s="16">
        <v>-1289</v>
      </c>
      <c r="AH219" s="16">
        <v>0</v>
      </c>
      <c r="AI219" s="16">
        <v>-208</v>
      </c>
      <c r="AJ219" s="16">
        <v>0</v>
      </c>
      <c r="AK219" s="16">
        <v>-437</v>
      </c>
      <c r="AL219" s="16">
        <v>0</v>
      </c>
      <c r="AM219" s="16">
        <v>-2403</v>
      </c>
      <c r="AN219" s="16">
        <v>0</v>
      </c>
      <c r="AO219" s="16">
        <v>-4337</v>
      </c>
      <c r="AP219" s="16">
        <v>-12845</v>
      </c>
      <c r="AQ219" s="5" t="s">
        <v>159</v>
      </c>
    </row>
    <row r="220" spans="1:43" x14ac:dyDescent="0.3">
      <c r="A220" s="9" t="s">
        <v>464</v>
      </c>
      <c r="B220" s="11" t="s">
        <v>463</v>
      </c>
      <c r="C220" s="16">
        <v>-864</v>
      </c>
      <c r="D220" s="16">
        <v>-471</v>
      </c>
      <c r="E220" s="16">
        <v>-79</v>
      </c>
      <c r="F220" s="16">
        <v>-110</v>
      </c>
      <c r="G220" s="16">
        <v>-47</v>
      </c>
      <c r="H220" s="16">
        <v>0</v>
      </c>
      <c r="I220" s="16">
        <v>0</v>
      </c>
      <c r="J220" s="16">
        <v>1459</v>
      </c>
      <c r="K220" s="16">
        <v>0</v>
      </c>
      <c r="L220" s="16">
        <v>17</v>
      </c>
      <c r="M220" s="16">
        <v>0</v>
      </c>
      <c r="N220" s="16">
        <v>0</v>
      </c>
      <c r="O220" s="16">
        <v>-38</v>
      </c>
      <c r="P220" s="16">
        <v>0</v>
      </c>
      <c r="Q220" s="16">
        <v>5</v>
      </c>
      <c r="R220" s="16">
        <v>0</v>
      </c>
      <c r="S220" s="16">
        <v>0</v>
      </c>
      <c r="T220" s="16">
        <v>0</v>
      </c>
      <c r="U220" s="16">
        <v>0</v>
      </c>
      <c r="V220" s="16">
        <v>-38</v>
      </c>
      <c r="W220" s="16">
        <v>-1100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-473</v>
      </c>
      <c r="AD220" s="16">
        <v>1459</v>
      </c>
      <c r="AE220" s="16">
        <v>1459</v>
      </c>
      <c r="AF220" s="16">
        <v>-2044</v>
      </c>
      <c r="AG220" s="16">
        <v>-132</v>
      </c>
      <c r="AH220" s="16">
        <v>0</v>
      </c>
      <c r="AI220" s="16">
        <v>0</v>
      </c>
      <c r="AJ220" s="16">
        <v>0</v>
      </c>
      <c r="AK220" s="16">
        <v>-58</v>
      </c>
      <c r="AL220" s="16">
        <v>0</v>
      </c>
      <c r="AM220" s="16">
        <v>-801</v>
      </c>
      <c r="AN220" s="16">
        <v>0</v>
      </c>
      <c r="AO220" s="16">
        <v>-991</v>
      </c>
      <c r="AP220" s="16">
        <v>-1053</v>
      </c>
      <c r="AQ220" s="5" t="s">
        <v>159</v>
      </c>
    </row>
    <row r="221" spans="1:43" x14ac:dyDescent="0.3">
      <c r="A221" s="9" t="s">
        <v>466</v>
      </c>
      <c r="B221" s="11" t="s">
        <v>465</v>
      </c>
      <c r="C221" s="16">
        <v>0</v>
      </c>
      <c r="D221" s="16">
        <v>0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-38</v>
      </c>
      <c r="P221" s="16">
        <v>0</v>
      </c>
      <c r="Q221" s="16">
        <v>-1</v>
      </c>
      <c r="R221" s="16">
        <v>0</v>
      </c>
      <c r="S221" s="16">
        <v>0</v>
      </c>
      <c r="T221" s="16">
        <v>0</v>
      </c>
      <c r="U221" s="16">
        <v>0</v>
      </c>
      <c r="V221" s="16">
        <v>-38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-2403</v>
      </c>
      <c r="AN221" s="16">
        <v>0</v>
      </c>
      <c r="AO221" s="16">
        <v>-2403</v>
      </c>
      <c r="AP221" s="16">
        <v>2403</v>
      </c>
      <c r="AQ221" s="5" t="s">
        <v>159</v>
      </c>
    </row>
    <row r="222" spans="1:43" x14ac:dyDescent="0.3">
      <c r="A222" s="9" t="s">
        <v>468</v>
      </c>
      <c r="B222" s="11" t="s">
        <v>467</v>
      </c>
      <c r="C222" s="16">
        <v>0</v>
      </c>
      <c r="D222" s="16">
        <v>0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3374</v>
      </c>
      <c r="K222" s="16">
        <v>0</v>
      </c>
      <c r="L222" s="16">
        <v>38</v>
      </c>
      <c r="M222" s="16">
        <v>0</v>
      </c>
      <c r="N222" s="16">
        <v>0</v>
      </c>
      <c r="O222" s="16">
        <v>-294</v>
      </c>
      <c r="P222" s="16">
        <v>1000</v>
      </c>
      <c r="Q222" s="16">
        <v>-32.5</v>
      </c>
      <c r="R222" s="16">
        <v>33</v>
      </c>
      <c r="S222" s="16">
        <v>143</v>
      </c>
      <c r="T222" s="16">
        <v>-2</v>
      </c>
      <c r="U222" s="16">
        <v>-9</v>
      </c>
      <c r="V222" s="16">
        <v>-292</v>
      </c>
      <c r="W222" s="16">
        <v>0</v>
      </c>
      <c r="X222" s="16">
        <v>1000</v>
      </c>
      <c r="Y222" s="16">
        <v>7.5</v>
      </c>
      <c r="Z222" s="16">
        <v>32.5</v>
      </c>
      <c r="AA222" s="16">
        <v>967.5</v>
      </c>
      <c r="AB222" s="16">
        <v>0</v>
      </c>
      <c r="AC222" s="16">
        <v>0</v>
      </c>
      <c r="AD222" s="16">
        <v>4374</v>
      </c>
      <c r="AE222" s="16">
        <v>4341</v>
      </c>
      <c r="AF222" s="16">
        <v>0</v>
      </c>
      <c r="AG222" s="16">
        <v>0</v>
      </c>
      <c r="AH222" s="16">
        <v>0</v>
      </c>
      <c r="AI222" s="16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5" t="s">
        <v>159</v>
      </c>
    </row>
    <row r="223" spans="1:43" x14ac:dyDescent="0.3">
      <c r="A223" s="9" t="s">
        <v>470</v>
      </c>
      <c r="B223" s="11" t="s">
        <v>469</v>
      </c>
      <c r="C223" s="16">
        <v>0</v>
      </c>
      <c r="D223" s="16">
        <v>0</v>
      </c>
      <c r="E223" s="16">
        <v>0</v>
      </c>
      <c r="F223" s="16">
        <v>0</v>
      </c>
      <c r="G223" s="16">
        <v>0</v>
      </c>
      <c r="H223" s="16">
        <v>1000</v>
      </c>
      <c r="I223" s="16">
        <v>0</v>
      </c>
      <c r="J223" s="16">
        <v>-3290</v>
      </c>
      <c r="K223" s="16">
        <v>0</v>
      </c>
      <c r="L223" s="16">
        <v>-29</v>
      </c>
      <c r="M223" s="16">
        <v>0</v>
      </c>
      <c r="N223" s="16">
        <v>-500</v>
      </c>
      <c r="O223" s="16">
        <v>230</v>
      </c>
      <c r="P223" s="16">
        <v>0</v>
      </c>
      <c r="Q223" s="16">
        <v>17.5</v>
      </c>
      <c r="R223" s="16">
        <v>0</v>
      </c>
      <c r="S223" s="16">
        <v>0</v>
      </c>
      <c r="T223" s="16">
        <v>0</v>
      </c>
      <c r="U223" s="16">
        <v>0</v>
      </c>
      <c r="V223" s="16">
        <v>230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-2790</v>
      </c>
      <c r="AE223" s="16">
        <v>-2790</v>
      </c>
      <c r="AF223" s="16">
        <v>0</v>
      </c>
      <c r="AG223" s="16">
        <v>0</v>
      </c>
      <c r="AH223" s="16">
        <v>0</v>
      </c>
      <c r="AI223" s="16">
        <v>0</v>
      </c>
      <c r="AJ223" s="16">
        <v>0</v>
      </c>
      <c r="AK223" s="16">
        <v>0</v>
      </c>
      <c r="AL223" s="16">
        <v>0</v>
      </c>
      <c r="AM223" s="16">
        <v>-3204</v>
      </c>
      <c r="AN223" s="16">
        <v>0</v>
      </c>
      <c r="AO223" s="16">
        <v>-3204</v>
      </c>
      <c r="AP223" s="16">
        <v>3204</v>
      </c>
      <c r="AQ223" s="5" t="s">
        <v>159</v>
      </c>
    </row>
    <row r="224" spans="1:43" x14ac:dyDescent="0.3">
      <c r="A224" s="9" t="s">
        <v>472</v>
      </c>
      <c r="B224" s="11" t="s">
        <v>471</v>
      </c>
      <c r="C224" s="16">
        <v>0</v>
      </c>
      <c r="D224" s="16">
        <v>0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1815</v>
      </c>
      <c r="K224" s="16">
        <v>0</v>
      </c>
      <c r="L224" s="16">
        <v>16</v>
      </c>
      <c r="M224" s="16">
        <v>0</v>
      </c>
      <c r="N224" s="16">
        <v>0</v>
      </c>
      <c r="O224" s="16">
        <v>207</v>
      </c>
      <c r="P224" s="16">
        <v>500</v>
      </c>
      <c r="Q224" s="16">
        <v>15</v>
      </c>
      <c r="R224" s="16">
        <v>0</v>
      </c>
      <c r="S224" s="16">
        <v>0</v>
      </c>
      <c r="T224" s="16">
        <v>0</v>
      </c>
      <c r="U224" s="16">
        <v>0</v>
      </c>
      <c r="V224" s="16">
        <v>207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2315</v>
      </c>
      <c r="AE224" s="16">
        <v>2315</v>
      </c>
      <c r="AF224" s="16">
        <v>0</v>
      </c>
      <c r="AG224" s="16">
        <v>0</v>
      </c>
      <c r="AH224" s="16">
        <v>0</v>
      </c>
      <c r="AI224" s="16">
        <v>0</v>
      </c>
      <c r="AJ224" s="16">
        <v>0</v>
      </c>
      <c r="AK224" s="16">
        <v>0</v>
      </c>
      <c r="AL224" s="16">
        <v>0</v>
      </c>
      <c r="AM224" s="16">
        <v>-801</v>
      </c>
      <c r="AN224" s="16">
        <v>0</v>
      </c>
      <c r="AO224" s="16">
        <v>-801</v>
      </c>
      <c r="AP224" s="16">
        <v>801</v>
      </c>
      <c r="AQ224" s="5" t="s">
        <v>159</v>
      </c>
    </row>
    <row r="225" spans="1:43" x14ac:dyDescent="0.3">
      <c r="A225" s="9" t="s">
        <v>474</v>
      </c>
      <c r="B225" s="11" t="s">
        <v>473</v>
      </c>
      <c r="C225" s="16">
        <v>33</v>
      </c>
      <c r="D225" s="16">
        <v>19</v>
      </c>
      <c r="E225" s="16">
        <v>3</v>
      </c>
      <c r="F225" s="16">
        <v>4</v>
      </c>
      <c r="G225" s="16">
        <v>1</v>
      </c>
      <c r="H225" s="16">
        <v>0</v>
      </c>
      <c r="I225" s="16">
        <v>115.69</v>
      </c>
      <c r="J225" s="16">
        <v>1841</v>
      </c>
      <c r="K225" s="16">
        <v>60</v>
      </c>
      <c r="L225" s="16">
        <v>20</v>
      </c>
      <c r="M225" s="16">
        <v>0</v>
      </c>
      <c r="N225" s="16">
        <v>0</v>
      </c>
      <c r="O225" s="16">
        <v>87</v>
      </c>
      <c r="P225" s="16">
        <v>0</v>
      </c>
      <c r="Q225" s="16">
        <v>10</v>
      </c>
      <c r="R225" s="16">
        <v>15</v>
      </c>
      <c r="S225" s="16">
        <v>64</v>
      </c>
      <c r="T225" s="16">
        <v>1</v>
      </c>
      <c r="U225" s="16">
        <v>3</v>
      </c>
      <c r="V225" s="16">
        <v>86</v>
      </c>
      <c r="W225" s="16">
        <v>41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1957</v>
      </c>
      <c r="AE225" s="16">
        <v>1942</v>
      </c>
      <c r="AF225" s="16">
        <v>60</v>
      </c>
      <c r="AG225" s="16">
        <v>5</v>
      </c>
      <c r="AH225" s="16">
        <v>1</v>
      </c>
      <c r="AI225" s="16">
        <v>0</v>
      </c>
      <c r="AJ225" s="16">
        <v>0</v>
      </c>
      <c r="AK225" s="16">
        <v>2</v>
      </c>
      <c r="AL225" s="16">
        <v>0</v>
      </c>
      <c r="AM225" s="16">
        <v>0</v>
      </c>
      <c r="AN225" s="16">
        <v>0</v>
      </c>
      <c r="AO225" s="16">
        <v>8</v>
      </c>
      <c r="AP225" s="16">
        <v>52</v>
      </c>
      <c r="AQ225" s="5" t="s">
        <v>159</v>
      </c>
    </row>
    <row r="226" spans="1:43" x14ac:dyDescent="0.3">
      <c r="A226" s="9" t="s">
        <v>476</v>
      </c>
      <c r="B226" s="11" t="s">
        <v>475</v>
      </c>
      <c r="C226" s="16">
        <v>739</v>
      </c>
      <c r="D226" s="16">
        <v>404</v>
      </c>
      <c r="E226" s="16">
        <v>68</v>
      </c>
      <c r="F226" s="16">
        <v>94</v>
      </c>
      <c r="G226" s="16">
        <v>40</v>
      </c>
      <c r="H226" s="16">
        <v>1000</v>
      </c>
      <c r="I226" s="16">
        <v>0</v>
      </c>
      <c r="J226" s="16">
        <v>3184</v>
      </c>
      <c r="K226" s="16">
        <v>0</v>
      </c>
      <c r="L226" s="16">
        <v>32</v>
      </c>
      <c r="M226" s="16">
        <v>0</v>
      </c>
      <c r="N226" s="16">
        <v>0</v>
      </c>
      <c r="O226" s="16">
        <v>-301</v>
      </c>
      <c r="P226" s="16">
        <v>500</v>
      </c>
      <c r="Q226" s="16">
        <v>-32.5</v>
      </c>
      <c r="R226" s="16">
        <v>0</v>
      </c>
      <c r="S226" s="16">
        <v>0</v>
      </c>
      <c r="T226" s="16">
        <v>0</v>
      </c>
      <c r="U226" s="16">
        <v>0</v>
      </c>
      <c r="V226" s="16">
        <v>-301</v>
      </c>
      <c r="W226" s="16">
        <v>941</v>
      </c>
      <c r="X226" s="16">
        <v>500</v>
      </c>
      <c r="Y226" s="16">
        <v>3.75</v>
      </c>
      <c r="Z226" s="16">
        <v>16.25</v>
      </c>
      <c r="AA226" s="16">
        <v>483.75</v>
      </c>
      <c r="AB226" s="16">
        <v>0</v>
      </c>
      <c r="AC226" s="16">
        <v>269</v>
      </c>
      <c r="AD226" s="16">
        <v>4684</v>
      </c>
      <c r="AE226" s="16">
        <v>4684</v>
      </c>
      <c r="AF226" s="16">
        <v>1614</v>
      </c>
      <c r="AG226" s="16">
        <v>113</v>
      </c>
      <c r="AH226" s="16">
        <v>0</v>
      </c>
      <c r="AI226" s="16">
        <v>0</v>
      </c>
      <c r="AJ226" s="16">
        <v>0</v>
      </c>
      <c r="AK226" s="16">
        <v>43</v>
      </c>
      <c r="AL226" s="16">
        <v>0</v>
      </c>
      <c r="AM226" s="16">
        <v>-801</v>
      </c>
      <c r="AN226" s="16">
        <v>0</v>
      </c>
      <c r="AO226" s="16">
        <v>-645</v>
      </c>
      <c r="AP226" s="16">
        <v>2259</v>
      </c>
      <c r="AQ226" s="5" t="s">
        <v>159</v>
      </c>
    </row>
    <row r="227" spans="1:43" x14ac:dyDescent="0.3">
      <c r="A227" s="9" t="s">
        <v>478</v>
      </c>
      <c r="B227" s="11" t="s">
        <v>477</v>
      </c>
      <c r="C227" s="16">
        <v>381</v>
      </c>
      <c r="D227" s="16">
        <v>208</v>
      </c>
      <c r="E227" s="16">
        <v>35</v>
      </c>
      <c r="F227" s="16">
        <v>48</v>
      </c>
      <c r="G227" s="16">
        <v>21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-920</v>
      </c>
      <c r="P227" s="16">
        <v>0</v>
      </c>
      <c r="Q227" s="16">
        <v>-28.5</v>
      </c>
      <c r="R227" s="16">
        <v>0</v>
      </c>
      <c r="S227" s="16">
        <v>0</v>
      </c>
      <c r="T227" s="16">
        <v>0</v>
      </c>
      <c r="U227" s="16">
        <v>0</v>
      </c>
      <c r="V227" s="16">
        <v>-920</v>
      </c>
      <c r="W227" s="16">
        <v>484.14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460</v>
      </c>
      <c r="AD227" s="16">
        <v>0</v>
      </c>
      <c r="AE227" s="16">
        <v>0</v>
      </c>
      <c r="AF227" s="16">
        <v>1153</v>
      </c>
      <c r="AG227" s="16">
        <v>58</v>
      </c>
      <c r="AH227" s="16">
        <v>0</v>
      </c>
      <c r="AI227" s="16">
        <v>0</v>
      </c>
      <c r="AJ227" s="16">
        <v>0</v>
      </c>
      <c r="AK227" s="16">
        <v>11</v>
      </c>
      <c r="AL227" s="16">
        <v>0</v>
      </c>
      <c r="AM227" s="16">
        <v>-2705.7</v>
      </c>
      <c r="AN227" s="16">
        <v>0</v>
      </c>
      <c r="AO227" s="16">
        <v>-2636.7</v>
      </c>
      <c r="AP227" s="16">
        <v>3790</v>
      </c>
      <c r="AQ227" s="5" t="s">
        <v>159</v>
      </c>
    </row>
    <row r="228" spans="1:43" x14ac:dyDescent="0.3">
      <c r="A228" s="9" t="s">
        <v>480</v>
      </c>
      <c r="B228" s="11" t="s">
        <v>479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-291</v>
      </c>
      <c r="K228" s="16">
        <v>0</v>
      </c>
      <c r="L228" s="16">
        <v>-2.5</v>
      </c>
      <c r="M228" s="16">
        <v>0</v>
      </c>
      <c r="N228" s="16">
        <v>0</v>
      </c>
      <c r="O228" s="16">
        <v>-156</v>
      </c>
      <c r="P228" s="16">
        <v>0</v>
      </c>
      <c r="Q228" s="16">
        <v>-11</v>
      </c>
      <c r="R228" s="16">
        <v>0</v>
      </c>
      <c r="S228" s="16">
        <v>0</v>
      </c>
      <c r="T228" s="16">
        <v>0</v>
      </c>
      <c r="U228" s="16">
        <v>0</v>
      </c>
      <c r="V228" s="16">
        <v>-156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-291</v>
      </c>
      <c r="AE228" s="16">
        <v>-291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-2403</v>
      </c>
      <c r="AN228" s="16">
        <v>0</v>
      </c>
      <c r="AO228" s="16">
        <v>-2403</v>
      </c>
      <c r="AP228" s="16">
        <v>2403</v>
      </c>
      <c r="AQ228" s="5" t="s">
        <v>159</v>
      </c>
    </row>
    <row r="229" spans="1:43" x14ac:dyDescent="0.3">
      <c r="A229" s="9" t="s">
        <v>482</v>
      </c>
      <c r="B229" s="11" t="s">
        <v>481</v>
      </c>
      <c r="C229" s="16">
        <v>0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218</v>
      </c>
      <c r="P229" s="16">
        <v>0</v>
      </c>
      <c r="Q229" s="16">
        <v>10</v>
      </c>
      <c r="R229" s="16">
        <v>0</v>
      </c>
      <c r="S229" s="16">
        <v>0</v>
      </c>
      <c r="T229" s="16">
        <v>0</v>
      </c>
      <c r="U229" s="16">
        <v>0</v>
      </c>
      <c r="V229" s="16">
        <v>218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-2403</v>
      </c>
      <c r="AN229" s="16">
        <v>0</v>
      </c>
      <c r="AO229" s="16">
        <v>-2403</v>
      </c>
      <c r="AP229" s="16">
        <v>2403</v>
      </c>
      <c r="AQ229" s="5" t="s">
        <v>159</v>
      </c>
    </row>
    <row r="230" spans="1:43" x14ac:dyDescent="0.3">
      <c r="A230" s="9" t="s">
        <v>484</v>
      </c>
      <c r="B230" s="11" t="s">
        <v>483</v>
      </c>
      <c r="C230" s="16">
        <v>-1009</v>
      </c>
      <c r="D230" s="16">
        <v>-550</v>
      </c>
      <c r="E230" s="16">
        <v>-92</v>
      </c>
      <c r="F230" s="16">
        <v>-129</v>
      </c>
      <c r="G230" s="16">
        <v>-56</v>
      </c>
      <c r="H230" s="16">
        <v>0</v>
      </c>
      <c r="I230" s="16">
        <v>0</v>
      </c>
      <c r="J230" s="16">
        <v>1353</v>
      </c>
      <c r="K230" s="16">
        <v>-1836</v>
      </c>
      <c r="L230" s="16">
        <v>13.5</v>
      </c>
      <c r="M230" s="16">
        <v>0</v>
      </c>
      <c r="N230" s="16">
        <v>0</v>
      </c>
      <c r="O230" s="16">
        <v>13</v>
      </c>
      <c r="P230" s="16">
        <v>0</v>
      </c>
      <c r="Q230" s="16">
        <v>10</v>
      </c>
      <c r="R230" s="16">
        <v>10</v>
      </c>
      <c r="S230" s="16">
        <v>44</v>
      </c>
      <c r="T230" s="16">
        <v>0</v>
      </c>
      <c r="U230" s="16">
        <v>0</v>
      </c>
      <c r="V230" s="16">
        <v>13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1353</v>
      </c>
      <c r="AE230" s="16">
        <v>1343</v>
      </c>
      <c r="AF230" s="16">
        <v>-1836</v>
      </c>
      <c r="AG230" s="16">
        <v>0</v>
      </c>
      <c r="AH230" s="16">
        <v>-14</v>
      </c>
      <c r="AI230" s="16">
        <v>0</v>
      </c>
      <c r="AJ230" s="16">
        <v>0</v>
      </c>
      <c r="AK230" s="16">
        <v>-58</v>
      </c>
      <c r="AL230" s="16">
        <v>0</v>
      </c>
      <c r="AM230" s="16">
        <v>0</v>
      </c>
      <c r="AN230" s="16">
        <v>0</v>
      </c>
      <c r="AO230" s="16">
        <v>-72</v>
      </c>
      <c r="AP230" s="16">
        <v>-1764</v>
      </c>
      <c r="AQ230" s="5" t="s">
        <v>159</v>
      </c>
    </row>
    <row r="231" spans="1:43" x14ac:dyDescent="0.3">
      <c r="A231" s="9" t="s">
        <v>486</v>
      </c>
      <c r="B231" s="11" t="s">
        <v>485</v>
      </c>
      <c r="C231" s="16">
        <v>0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9</v>
      </c>
      <c r="P231" s="16">
        <v>0</v>
      </c>
      <c r="Q231" s="16">
        <v>0.6</v>
      </c>
      <c r="R231" s="16">
        <v>0</v>
      </c>
      <c r="S231" s="16">
        <v>0</v>
      </c>
      <c r="T231" s="16">
        <v>0</v>
      </c>
      <c r="U231" s="16">
        <v>0</v>
      </c>
      <c r="V231" s="16">
        <v>9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-1602</v>
      </c>
      <c r="AN231" s="16">
        <v>0</v>
      </c>
      <c r="AO231" s="16">
        <v>-1602</v>
      </c>
      <c r="AP231" s="16">
        <v>1602</v>
      </c>
      <c r="AQ231" s="5" t="s">
        <v>159</v>
      </c>
    </row>
    <row r="232" spans="1:43" x14ac:dyDescent="0.3">
      <c r="A232" s="9" t="s">
        <v>488</v>
      </c>
      <c r="B232" s="11" t="s">
        <v>487</v>
      </c>
      <c r="C232" s="16">
        <v>0</v>
      </c>
      <c r="D232" s="16">
        <v>0</v>
      </c>
      <c r="E232" s="16">
        <v>0</v>
      </c>
      <c r="F232" s="16">
        <v>0</v>
      </c>
      <c r="G232" s="16">
        <v>0</v>
      </c>
      <c r="H232" s="16">
        <v>0</v>
      </c>
      <c r="I232" s="16">
        <v>77.23</v>
      </c>
      <c r="J232" s="16">
        <v>-453</v>
      </c>
      <c r="K232" s="16">
        <v>0</v>
      </c>
      <c r="L232" s="16">
        <v>-4</v>
      </c>
      <c r="M232" s="16">
        <v>0</v>
      </c>
      <c r="N232" s="16">
        <v>0</v>
      </c>
      <c r="O232" s="16">
        <v>-244</v>
      </c>
      <c r="P232" s="16">
        <v>0</v>
      </c>
      <c r="Q232" s="16">
        <v>-15</v>
      </c>
      <c r="R232" s="16">
        <v>0</v>
      </c>
      <c r="S232" s="16">
        <v>0</v>
      </c>
      <c r="T232" s="16">
        <v>0</v>
      </c>
      <c r="U232" s="16">
        <v>0</v>
      </c>
      <c r="V232" s="16">
        <v>-244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-376</v>
      </c>
      <c r="AE232" s="16">
        <v>-376</v>
      </c>
      <c r="AF232" s="16">
        <v>0</v>
      </c>
      <c r="AG232" s="16">
        <v>0</v>
      </c>
      <c r="AH232" s="16">
        <v>0</v>
      </c>
      <c r="AI232" s="16">
        <v>0</v>
      </c>
      <c r="AJ232" s="16">
        <v>0</v>
      </c>
      <c r="AK232" s="16">
        <v>0</v>
      </c>
      <c r="AL232" s="16">
        <v>0</v>
      </c>
      <c r="AM232" s="16">
        <v>-2403</v>
      </c>
      <c r="AN232" s="16">
        <v>0</v>
      </c>
      <c r="AO232" s="16">
        <v>-2403</v>
      </c>
      <c r="AP232" s="16">
        <v>2403</v>
      </c>
      <c r="AQ232" s="5" t="s">
        <v>159</v>
      </c>
    </row>
    <row r="233" spans="1:43" x14ac:dyDescent="0.3">
      <c r="A233" s="9" t="s">
        <v>490</v>
      </c>
      <c r="B233" s="11" t="s">
        <v>489</v>
      </c>
      <c r="C233" s="16">
        <v>0</v>
      </c>
      <c r="D233" s="16">
        <v>0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0</v>
      </c>
      <c r="O233" s="16">
        <v>-308</v>
      </c>
      <c r="P233" s="16">
        <v>0</v>
      </c>
      <c r="Q233" s="16">
        <v>-10.5</v>
      </c>
      <c r="R233" s="16">
        <v>0</v>
      </c>
      <c r="S233" s="16">
        <v>0</v>
      </c>
      <c r="T233" s="16">
        <v>0</v>
      </c>
      <c r="U233" s="16">
        <v>0</v>
      </c>
      <c r="V233" s="16">
        <v>-308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0</v>
      </c>
      <c r="AJ233" s="16">
        <v>0</v>
      </c>
      <c r="AK233" s="16">
        <v>0</v>
      </c>
      <c r="AL233" s="16">
        <v>0</v>
      </c>
      <c r="AM233" s="16">
        <v>-1602</v>
      </c>
      <c r="AN233" s="16">
        <v>0</v>
      </c>
      <c r="AO233" s="16">
        <v>-1602</v>
      </c>
      <c r="AP233" s="16">
        <v>1602</v>
      </c>
      <c r="AQ233" s="5" t="s">
        <v>159</v>
      </c>
    </row>
    <row r="234" spans="1:43" x14ac:dyDescent="0.3">
      <c r="A234" s="9" t="s">
        <v>492</v>
      </c>
      <c r="B234" s="11" t="s">
        <v>491</v>
      </c>
      <c r="C234" s="16">
        <v>0</v>
      </c>
      <c r="D234" s="16">
        <v>0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6">
        <v>-3754</v>
      </c>
      <c r="K234" s="16">
        <v>0</v>
      </c>
      <c r="L234" s="16">
        <v>-30</v>
      </c>
      <c r="M234" s="16">
        <v>0</v>
      </c>
      <c r="N234" s="16">
        <v>0</v>
      </c>
      <c r="O234" s="16">
        <v>313</v>
      </c>
      <c r="P234" s="16">
        <v>0</v>
      </c>
      <c r="Q234" s="16">
        <v>20</v>
      </c>
      <c r="R234" s="16">
        <v>0</v>
      </c>
      <c r="S234" s="16">
        <v>0</v>
      </c>
      <c r="T234" s="16">
        <v>0</v>
      </c>
      <c r="U234" s="16">
        <v>0</v>
      </c>
      <c r="V234" s="16">
        <v>313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-3754</v>
      </c>
      <c r="AE234" s="16">
        <v>-3754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-3204</v>
      </c>
      <c r="AN234" s="16">
        <v>0</v>
      </c>
      <c r="AO234" s="16">
        <v>-3204</v>
      </c>
      <c r="AP234" s="16">
        <v>3204</v>
      </c>
      <c r="AQ234" s="5" t="s">
        <v>159</v>
      </c>
    </row>
    <row r="235" spans="1:43" x14ac:dyDescent="0.3">
      <c r="A235" s="9" t="s">
        <v>494</v>
      </c>
      <c r="B235" s="11" t="s">
        <v>493</v>
      </c>
      <c r="C235" s="16">
        <v>1679</v>
      </c>
      <c r="D235" s="16">
        <v>916</v>
      </c>
      <c r="E235" s="16">
        <v>152</v>
      </c>
      <c r="F235" s="16">
        <v>213</v>
      </c>
      <c r="G235" s="16">
        <v>91</v>
      </c>
      <c r="H235" s="16">
        <v>0</v>
      </c>
      <c r="I235" s="16">
        <v>0</v>
      </c>
      <c r="J235" s="16">
        <v>1480</v>
      </c>
      <c r="K235" s="16">
        <v>0</v>
      </c>
      <c r="L235" s="16">
        <v>15</v>
      </c>
      <c r="M235" s="16">
        <v>0</v>
      </c>
      <c r="N235" s="16">
        <v>0</v>
      </c>
      <c r="O235" s="16">
        <v>-111</v>
      </c>
      <c r="P235" s="16">
        <v>0</v>
      </c>
      <c r="Q235" s="16">
        <v>-32.5</v>
      </c>
      <c r="R235" s="16">
        <v>0</v>
      </c>
      <c r="S235" s="16">
        <v>0</v>
      </c>
      <c r="T235" s="16">
        <v>0</v>
      </c>
      <c r="U235" s="16">
        <v>0</v>
      </c>
      <c r="V235" s="16">
        <v>-111</v>
      </c>
      <c r="W235" s="16">
        <v>2135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458</v>
      </c>
      <c r="AD235" s="16">
        <v>1480</v>
      </c>
      <c r="AE235" s="16">
        <v>1480</v>
      </c>
      <c r="AF235" s="16">
        <v>3509</v>
      </c>
      <c r="AG235" s="16">
        <v>256</v>
      </c>
      <c r="AH235" s="16">
        <v>0</v>
      </c>
      <c r="AI235" s="16">
        <v>0</v>
      </c>
      <c r="AJ235" s="16">
        <v>0</v>
      </c>
      <c r="AK235" s="16">
        <v>98</v>
      </c>
      <c r="AL235" s="16">
        <v>0</v>
      </c>
      <c r="AM235" s="16">
        <v>-801</v>
      </c>
      <c r="AN235" s="16">
        <v>0</v>
      </c>
      <c r="AO235" s="16">
        <v>-447</v>
      </c>
      <c r="AP235" s="16">
        <v>3956</v>
      </c>
      <c r="AQ235" s="5" t="s">
        <v>159</v>
      </c>
    </row>
    <row r="236" spans="1:43" x14ac:dyDescent="0.3">
      <c r="A236" s="9" t="s">
        <v>496</v>
      </c>
      <c r="B236" s="11" t="s">
        <v>495</v>
      </c>
      <c r="C236" s="16">
        <v>2968</v>
      </c>
      <c r="D236" s="16">
        <v>1618</v>
      </c>
      <c r="E236" s="16">
        <v>270</v>
      </c>
      <c r="F236" s="16">
        <v>377</v>
      </c>
      <c r="G236" s="16">
        <v>162</v>
      </c>
      <c r="H236" s="16">
        <v>0</v>
      </c>
      <c r="I236" s="16">
        <v>1211.08</v>
      </c>
      <c r="J236" s="16">
        <v>1439</v>
      </c>
      <c r="K236" s="16">
        <v>0</v>
      </c>
      <c r="L236" s="16">
        <v>9</v>
      </c>
      <c r="M236" s="16">
        <v>0</v>
      </c>
      <c r="N236" s="16">
        <v>0</v>
      </c>
      <c r="O236" s="16">
        <v>495</v>
      </c>
      <c r="P236" s="16">
        <v>0</v>
      </c>
      <c r="Q236" s="16">
        <v>10</v>
      </c>
      <c r="R236" s="16">
        <v>0</v>
      </c>
      <c r="S236" s="16">
        <v>0</v>
      </c>
      <c r="T236" s="16">
        <v>0</v>
      </c>
      <c r="U236" s="16">
        <v>0</v>
      </c>
      <c r="V236" s="16">
        <v>495</v>
      </c>
      <c r="W236" s="16">
        <v>3777.32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1266</v>
      </c>
      <c r="AD236" s="16">
        <v>2650</v>
      </c>
      <c r="AE236" s="16">
        <v>2650</v>
      </c>
      <c r="AF236" s="16">
        <v>6661</v>
      </c>
      <c r="AG236" s="16">
        <v>453</v>
      </c>
      <c r="AH236" s="16">
        <v>0</v>
      </c>
      <c r="AI236" s="16">
        <v>0</v>
      </c>
      <c r="AJ236" s="16">
        <v>0</v>
      </c>
      <c r="AK236" s="16">
        <v>107</v>
      </c>
      <c r="AL236" s="16">
        <v>0</v>
      </c>
      <c r="AM236" s="16">
        <v>-1602</v>
      </c>
      <c r="AN236" s="16">
        <v>0</v>
      </c>
      <c r="AO236" s="16">
        <v>-1042</v>
      </c>
      <c r="AP236" s="16">
        <v>7703</v>
      </c>
      <c r="AQ236" s="5" t="s">
        <v>159</v>
      </c>
    </row>
    <row r="237" spans="1:43" x14ac:dyDescent="0.3">
      <c r="A237" s="9" t="s">
        <v>498</v>
      </c>
      <c r="B237" s="11" t="s">
        <v>497</v>
      </c>
      <c r="C237" s="16">
        <v>0</v>
      </c>
      <c r="D237" s="16">
        <v>0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-12</v>
      </c>
      <c r="P237" s="16">
        <v>0</v>
      </c>
      <c r="Q237" s="16">
        <v>-0.5</v>
      </c>
      <c r="R237" s="16">
        <v>0</v>
      </c>
      <c r="S237" s="16">
        <v>0</v>
      </c>
      <c r="T237" s="16">
        <v>0</v>
      </c>
      <c r="U237" s="16">
        <v>0</v>
      </c>
      <c r="V237" s="16">
        <v>-12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-1602</v>
      </c>
      <c r="AN237" s="16">
        <v>0</v>
      </c>
      <c r="AO237" s="16">
        <v>-1602</v>
      </c>
      <c r="AP237" s="16">
        <v>1602</v>
      </c>
      <c r="AQ237" s="5" t="s">
        <v>159</v>
      </c>
    </row>
    <row r="238" spans="1:43" x14ac:dyDescent="0.3">
      <c r="A238" s="9" t="s">
        <v>500</v>
      </c>
      <c r="B238" s="11" t="s">
        <v>499</v>
      </c>
      <c r="C238" s="16">
        <v>0</v>
      </c>
      <c r="D238" s="16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143</v>
      </c>
      <c r="P238" s="16">
        <v>0</v>
      </c>
      <c r="Q238" s="16">
        <v>10</v>
      </c>
      <c r="R238" s="16">
        <v>0</v>
      </c>
      <c r="S238" s="16">
        <v>0</v>
      </c>
      <c r="T238" s="16">
        <v>0</v>
      </c>
      <c r="U238" s="16">
        <v>0</v>
      </c>
      <c r="V238" s="16">
        <v>143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-2403</v>
      </c>
      <c r="AN238" s="16">
        <v>0</v>
      </c>
      <c r="AO238" s="16">
        <v>-2403</v>
      </c>
      <c r="AP238" s="16">
        <v>2403</v>
      </c>
      <c r="AQ238" s="5" t="s">
        <v>159</v>
      </c>
    </row>
    <row r="239" spans="1:43" x14ac:dyDescent="0.3">
      <c r="A239" s="9" t="s">
        <v>502</v>
      </c>
      <c r="B239" s="11" t="s">
        <v>501</v>
      </c>
      <c r="C239" s="16">
        <v>0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670</v>
      </c>
      <c r="K239" s="16">
        <v>0</v>
      </c>
      <c r="L239" s="16">
        <v>2</v>
      </c>
      <c r="M239" s="16">
        <v>0</v>
      </c>
      <c r="N239" s="16">
        <v>0</v>
      </c>
      <c r="O239" s="16">
        <v>120</v>
      </c>
      <c r="P239" s="16">
        <v>0</v>
      </c>
      <c r="Q239" s="16">
        <v>2.5</v>
      </c>
      <c r="R239" s="16">
        <v>0</v>
      </c>
      <c r="S239" s="16">
        <v>0</v>
      </c>
      <c r="T239" s="16">
        <v>0</v>
      </c>
      <c r="U239" s="16">
        <v>0</v>
      </c>
      <c r="V239" s="16">
        <v>120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670</v>
      </c>
      <c r="AE239" s="16">
        <v>670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-4806</v>
      </c>
      <c r="AN239" s="16">
        <v>0</v>
      </c>
      <c r="AO239" s="16">
        <v>-4806</v>
      </c>
      <c r="AP239" s="16">
        <v>4806</v>
      </c>
      <c r="AQ239" s="5" t="s">
        <v>159</v>
      </c>
    </row>
    <row r="240" spans="1:43" x14ac:dyDescent="0.3">
      <c r="A240" s="9" t="s">
        <v>504</v>
      </c>
      <c r="B240" s="11" t="s">
        <v>503</v>
      </c>
      <c r="C240" s="16">
        <v>0</v>
      </c>
      <c r="D240" s="16">
        <v>0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-99</v>
      </c>
      <c r="P240" s="16">
        <v>0</v>
      </c>
      <c r="Q240" s="16">
        <v>-4.5</v>
      </c>
      <c r="R240" s="16">
        <v>0</v>
      </c>
      <c r="S240" s="16">
        <v>0</v>
      </c>
      <c r="T240" s="16">
        <v>0</v>
      </c>
      <c r="U240" s="16">
        <v>0</v>
      </c>
      <c r="V240" s="16">
        <v>-99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-3204</v>
      </c>
      <c r="AN240" s="16">
        <v>0</v>
      </c>
      <c r="AO240" s="16">
        <v>-3204</v>
      </c>
      <c r="AP240" s="16">
        <v>3204</v>
      </c>
      <c r="AQ240" s="5" t="s">
        <v>159</v>
      </c>
    </row>
    <row r="241" spans="1:43" x14ac:dyDescent="0.3">
      <c r="A241" s="9" t="s">
        <v>506</v>
      </c>
      <c r="B241" s="11" t="s">
        <v>505</v>
      </c>
      <c r="C241" s="16">
        <v>-368</v>
      </c>
      <c r="D241" s="16">
        <v>-201</v>
      </c>
      <c r="E241" s="16">
        <v>-33</v>
      </c>
      <c r="F241" s="16">
        <v>-46</v>
      </c>
      <c r="G241" s="16">
        <v>-20</v>
      </c>
      <c r="H241" s="16">
        <v>-1000</v>
      </c>
      <c r="I241" s="16">
        <v>-153.69</v>
      </c>
      <c r="J241" s="16">
        <v>-2628</v>
      </c>
      <c r="K241" s="16">
        <v>-668</v>
      </c>
      <c r="L241" s="16">
        <v>-24</v>
      </c>
      <c r="M241" s="16">
        <v>0</v>
      </c>
      <c r="N241" s="16">
        <v>0</v>
      </c>
      <c r="O241" s="16">
        <v>98</v>
      </c>
      <c r="P241" s="16">
        <v>0</v>
      </c>
      <c r="Q241" s="16">
        <v>12.5</v>
      </c>
      <c r="R241" s="16">
        <v>-28</v>
      </c>
      <c r="S241" s="16">
        <v>-123</v>
      </c>
      <c r="T241" s="16">
        <v>1</v>
      </c>
      <c r="U241" s="16">
        <v>3</v>
      </c>
      <c r="V241" s="16">
        <v>97</v>
      </c>
      <c r="W241" s="16">
        <v>-467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-3782</v>
      </c>
      <c r="AE241" s="16">
        <v>-3754</v>
      </c>
      <c r="AF241" s="16">
        <v>-668</v>
      </c>
      <c r="AG241" s="16">
        <v>-56</v>
      </c>
      <c r="AH241" s="16">
        <v>-5</v>
      </c>
      <c r="AI241" s="16">
        <v>0</v>
      </c>
      <c r="AJ241" s="16">
        <v>0</v>
      </c>
      <c r="AK241" s="16">
        <v>-19</v>
      </c>
      <c r="AL241" s="16">
        <v>0</v>
      </c>
      <c r="AM241" s="16">
        <v>0</v>
      </c>
      <c r="AN241" s="16">
        <v>0</v>
      </c>
      <c r="AO241" s="16">
        <v>-80</v>
      </c>
      <c r="AP241" s="16">
        <v>-588</v>
      </c>
      <c r="AQ241" s="5" t="s">
        <v>159</v>
      </c>
    </row>
    <row r="242" spans="1:43" x14ac:dyDescent="0.3">
      <c r="A242" s="9" t="s">
        <v>508</v>
      </c>
      <c r="B242" s="11" t="s">
        <v>507</v>
      </c>
      <c r="C242" s="16">
        <v>-762</v>
      </c>
      <c r="D242" s="16">
        <v>-415</v>
      </c>
      <c r="E242" s="16">
        <v>-70</v>
      </c>
      <c r="F242" s="16">
        <v>-97</v>
      </c>
      <c r="G242" s="16">
        <v>-42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-2</v>
      </c>
      <c r="P242" s="16">
        <v>0</v>
      </c>
      <c r="Q242" s="16">
        <v>5</v>
      </c>
      <c r="R242" s="16">
        <v>0</v>
      </c>
      <c r="S242" s="16">
        <v>0</v>
      </c>
      <c r="T242" s="16">
        <v>0</v>
      </c>
      <c r="U242" s="16">
        <v>0</v>
      </c>
      <c r="V242" s="16">
        <v>-2</v>
      </c>
      <c r="W242" s="16">
        <v>-954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-75</v>
      </c>
      <c r="AD242" s="16">
        <v>0</v>
      </c>
      <c r="AE242" s="16">
        <v>0</v>
      </c>
      <c r="AF242" s="16">
        <v>-1461</v>
      </c>
      <c r="AG242" s="16">
        <v>-114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-801</v>
      </c>
      <c r="AN242" s="16">
        <v>0</v>
      </c>
      <c r="AO242" s="16">
        <v>-915</v>
      </c>
      <c r="AP242" s="16">
        <v>-546</v>
      </c>
      <c r="AQ242" s="5" t="s">
        <v>159</v>
      </c>
    </row>
    <row r="243" spans="1:43" x14ac:dyDescent="0.3">
      <c r="A243" s="9" t="s">
        <v>510</v>
      </c>
      <c r="B243" s="11" t="s">
        <v>509</v>
      </c>
      <c r="C243" s="16">
        <v>6600</v>
      </c>
      <c r="D243" s="16">
        <v>3600</v>
      </c>
      <c r="E243" s="16">
        <v>600</v>
      </c>
      <c r="F243" s="16">
        <v>840</v>
      </c>
      <c r="G243" s="16">
        <v>360</v>
      </c>
      <c r="H243" s="16">
        <v>1000</v>
      </c>
      <c r="I243" s="16">
        <v>1173</v>
      </c>
      <c r="J243" s="16">
        <v>1777</v>
      </c>
      <c r="K243" s="16">
        <v>0</v>
      </c>
      <c r="L243" s="16">
        <v>12</v>
      </c>
      <c r="M243" s="16">
        <v>0</v>
      </c>
      <c r="N243" s="16">
        <v>0</v>
      </c>
      <c r="O243" s="16">
        <v>767</v>
      </c>
      <c r="P243" s="16">
        <v>0</v>
      </c>
      <c r="Q243" s="16">
        <v>10</v>
      </c>
      <c r="R243" s="16">
        <v>0</v>
      </c>
      <c r="S243" s="16">
        <v>0</v>
      </c>
      <c r="T243" s="16">
        <v>0</v>
      </c>
      <c r="U243" s="16">
        <v>0</v>
      </c>
      <c r="V243" s="16">
        <v>767</v>
      </c>
      <c r="W243" s="16">
        <v>3800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2143</v>
      </c>
      <c r="AD243" s="16">
        <v>3950</v>
      </c>
      <c r="AE243" s="16">
        <v>3950</v>
      </c>
      <c r="AF243" s="16">
        <v>14143</v>
      </c>
      <c r="AG243" s="16">
        <v>456</v>
      </c>
      <c r="AH243" s="16">
        <v>0</v>
      </c>
      <c r="AI243" s="16">
        <v>0</v>
      </c>
      <c r="AJ243" s="16">
        <v>0</v>
      </c>
      <c r="AK243" s="16">
        <v>257</v>
      </c>
      <c r="AL243" s="16">
        <v>0</v>
      </c>
      <c r="AM243" s="16">
        <v>0</v>
      </c>
      <c r="AN243" s="16">
        <v>100</v>
      </c>
      <c r="AO243" s="16">
        <v>813</v>
      </c>
      <c r="AP243" s="16">
        <v>13330</v>
      </c>
      <c r="AQ243" s="5" t="s">
        <v>159</v>
      </c>
    </row>
    <row r="244" spans="1:43" x14ac:dyDescent="0.3">
      <c r="A244" s="9" t="s">
        <v>512</v>
      </c>
      <c r="B244" s="11" t="s">
        <v>511</v>
      </c>
      <c r="C244" s="16">
        <v>401</v>
      </c>
      <c r="D244" s="16">
        <v>218</v>
      </c>
      <c r="E244" s="16">
        <v>36</v>
      </c>
      <c r="F244" s="16">
        <v>51</v>
      </c>
      <c r="G244" s="16">
        <v>21</v>
      </c>
      <c r="H244" s="16">
        <v>0</v>
      </c>
      <c r="I244" s="16">
        <v>0</v>
      </c>
      <c r="J244" s="16">
        <v>-1940</v>
      </c>
      <c r="K244" s="16">
        <v>0</v>
      </c>
      <c r="L244" s="16">
        <v>-18</v>
      </c>
      <c r="M244" s="16">
        <v>0</v>
      </c>
      <c r="N244" s="16">
        <v>500</v>
      </c>
      <c r="O244" s="16">
        <v>181</v>
      </c>
      <c r="P244" s="16">
        <v>0</v>
      </c>
      <c r="Q244" s="16">
        <v>7.5</v>
      </c>
      <c r="R244" s="16">
        <v>0</v>
      </c>
      <c r="S244" s="16">
        <v>0</v>
      </c>
      <c r="T244" s="16">
        <v>0</v>
      </c>
      <c r="U244" s="16">
        <v>0</v>
      </c>
      <c r="V244" s="16">
        <v>181</v>
      </c>
      <c r="W244" s="16">
        <v>509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420</v>
      </c>
      <c r="AD244" s="16">
        <v>-1440</v>
      </c>
      <c r="AE244" s="16">
        <v>-1440</v>
      </c>
      <c r="AF244" s="16">
        <v>1147</v>
      </c>
      <c r="AG244" s="16">
        <v>61</v>
      </c>
      <c r="AH244" s="16">
        <v>0</v>
      </c>
      <c r="AI244" s="16">
        <v>0</v>
      </c>
      <c r="AJ244" s="16">
        <v>0</v>
      </c>
      <c r="AK244" s="16">
        <v>21</v>
      </c>
      <c r="AL244" s="16">
        <v>0</v>
      </c>
      <c r="AM244" s="16">
        <v>-2403</v>
      </c>
      <c r="AN244" s="16">
        <v>0</v>
      </c>
      <c r="AO244" s="16">
        <v>-2321</v>
      </c>
      <c r="AP244" s="16">
        <v>3468</v>
      </c>
      <c r="AQ244" s="5" t="s">
        <v>159</v>
      </c>
    </row>
    <row r="245" spans="1:43" x14ac:dyDescent="0.3">
      <c r="A245" s="9" t="s">
        <v>513</v>
      </c>
      <c r="B245" s="11" t="s">
        <v>511</v>
      </c>
      <c r="C245" s="16">
        <v>239</v>
      </c>
      <c r="D245" s="16">
        <v>130</v>
      </c>
      <c r="E245" s="16">
        <v>22</v>
      </c>
      <c r="F245" s="16">
        <v>31</v>
      </c>
      <c r="G245" s="16">
        <v>13</v>
      </c>
      <c r="H245" s="16">
        <v>0</v>
      </c>
      <c r="I245" s="16">
        <v>-461.54</v>
      </c>
      <c r="J245" s="16">
        <v>1542</v>
      </c>
      <c r="K245" s="16">
        <v>0</v>
      </c>
      <c r="L245" s="16">
        <v>12</v>
      </c>
      <c r="M245" s="16">
        <v>0</v>
      </c>
      <c r="N245" s="16">
        <v>0</v>
      </c>
      <c r="O245" s="16">
        <v>-54</v>
      </c>
      <c r="P245" s="16">
        <v>0</v>
      </c>
      <c r="Q245" s="16">
        <v>-5</v>
      </c>
      <c r="R245" s="16">
        <v>0</v>
      </c>
      <c r="S245" s="16">
        <v>0</v>
      </c>
      <c r="T245" s="16">
        <v>0</v>
      </c>
      <c r="U245" s="16">
        <v>0</v>
      </c>
      <c r="V245" s="16">
        <v>-54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83</v>
      </c>
      <c r="AD245" s="16">
        <v>1080</v>
      </c>
      <c r="AE245" s="16">
        <v>1080</v>
      </c>
      <c r="AF245" s="16">
        <v>518</v>
      </c>
      <c r="AG245" s="16">
        <v>0</v>
      </c>
      <c r="AH245" s="16">
        <v>0</v>
      </c>
      <c r="AI245" s="16">
        <v>0</v>
      </c>
      <c r="AJ245" s="16">
        <v>0</v>
      </c>
      <c r="AK245" s="16">
        <v>11</v>
      </c>
      <c r="AL245" s="16">
        <v>0</v>
      </c>
      <c r="AM245" s="16">
        <v>-2403</v>
      </c>
      <c r="AN245" s="16">
        <v>0</v>
      </c>
      <c r="AO245" s="16">
        <v>-2392</v>
      </c>
      <c r="AP245" s="16">
        <v>2910</v>
      </c>
      <c r="AQ245" s="5" t="s">
        <v>159</v>
      </c>
    </row>
    <row r="246" spans="1:43" x14ac:dyDescent="0.3">
      <c r="A246" s="9" t="s">
        <v>515</v>
      </c>
      <c r="B246" s="11" t="s">
        <v>514</v>
      </c>
      <c r="C246" s="16">
        <v>842</v>
      </c>
      <c r="D246" s="16">
        <v>459</v>
      </c>
      <c r="E246" s="16">
        <v>77</v>
      </c>
      <c r="F246" s="16">
        <v>107</v>
      </c>
      <c r="G246" s="16">
        <v>46</v>
      </c>
      <c r="H246" s="16">
        <v>1000</v>
      </c>
      <c r="I246" s="16">
        <v>615</v>
      </c>
      <c r="J246" s="16">
        <v>3173</v>
      </c>
      <c r="K246" s="16">
        <v>0</v>
      </c>
      <c r="L246" s="16">
        <v>28</v>
      </c>
      <c r="M246" s="16">
        <v>0</v>
      </c>
      <c r="N246" s="16">
        <v>0</v>
      </c>
      <c r="O246" s="16">
        <v>214</v>
      </c>
      <c r="P246" s="16">
        <v>0</v>
      </c>
      <c r="Q246" s="16">
        <v>10</v>
      </c>
      <c r="R246" s="16">
        <v>0</v>
      </c>
      <c r="S246" s="16">
        <v>0</v>
      </c>
      <c r="T246" s="16">
        <v>0</v>
      </c>
      <c r="U246" s="16">
        <v>0</v>
      </c>
      <c r="V246" s="16">
        <v>214</v>
      </c>
      <c r="W246" s="16">
        <v>1070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371</v>
      </c>
      <c r="AD246" s="16">
        <v>4788</v>
      </c>
      <c r="AE246" s="16">
        <v>4788</v>
      </c>
      <c r="AF246" s="16">
        <v>1902</v>
      </c>
      <c r="AG246" s="16">
        <v>128</v>
      </c>
      <c r="AH246" s="16">
        <v>0</v>
      </c>
      <c r="AI246" s="16">
        <v>0</v>
      </c>
      <c r="AJ246" s="16">
        <v>0</v>
      </c>
      <c r="AK246" s="16">
        <v>43</v>
      </c>
      <c r="AL246" s="16">
        <v>0</v>
      </c>
      <c r="AM246" s="16">
        <v>0</v>
      </c>
      <c r="AN246" s="16">
        <v>0</v>
      </c>
      <c r="AO246" s="16">
        <v>171</v>
      </c>
      <c r="AP246" s="16">
        <v>1731</v>
      </c>
      <c r="AQ246" s="5" t="s">
        <v>159</v>
      </c>
    </row>
    <row r="247" spans="1:43" x14ac:dyDescent="0.3">
      <c r="A247" s="9" t="s">
        <v>517</v>
      </c>
      <c r="B247" s="11" t="s">
        <v>516</v>
      </c>
      <c r="C247" s="16">
        <v>0</v>
      </c>
      <c r="D247" s="16">
        <v>0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809</v>
      </c>
      <c r="K247" s="16">
        <v>0</v>
      </c>
      <c r="L247" s="16">
        <v>6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809</v>
      </c>
      <c r="AE247" s="16">
        <v>809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-2403</v>
      </c>
      <c r="AN247" s="16">
        <v>0</v>
      </c>
      <c r="AO247" s="16">
        <v>-2403</v>
      </c>
      <c r="AP247" s="16">
        <v>2403</v>
      </c>
      <c r="AQ247" s="5" t="s">
        <v>159</v>
      </c>
    </row>
    <row r="248" spans="1:43" x14ac:dyDescent="0.3">
      <c r="A248" s="9" t="s">
        <v>519</v>
      </c>
      <c r="B248" s="11" t="s">
        <v>518</v>
      </c>
      <c r="C248" s="16">
        <v>933</v>
      </c>
      <c r="D248" s="16">
        <v>509</v>
      </c>
      <c r="E248" s="16">
        <v>85</v>
      </c>
      <c r="F248" s="16">
        <v>118</v>
      </c>
      <c r="G248" s="16">
        <v>51</v>
      </c>
      <c r="H248" s="16">
        <v>0</v>
      </c>
      <c r="I248" s="16">
        <v>923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-124</v>
      </c>
      <c r="P248" s="16">
        <v>0</v>
      </c>
      <c r="Q248" s="16">
        <v>-15</v>
      </c>
      <c r="R248" s="16">
        <v>0</v>
      </c>
      <c r="S248" s="16">
        <v>0</v>
      </c>
      <c r="T248" s="16">
        <v>0</v>
      </c>
      <c r="U248" s="16">
        <v>0</v>
      </c>
      <c r="V248" s="16">
        <v>-124</v>
      </c>
      <c r="W248" s="16">
        <v>843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470</v>
      </c>
      <c r="AD248" s="16">
        <v>923</v>
      </c>
      <c r="AE248" s="16">
        <v>923</v>
      </c>
      <c r="AF248" s="16">
        <v>2166</v>
      </c>
      <c r="AG248" s="16">
        <v>101</v>
      </c>
      <c r="AH248" s="16">
        <v>0</v>
      </c>
      <c r="AI248" s="16">
        <v>0</v>
      </c>
      <c r="AJ248" s="16">
        <v>0</v>
      </c>
      <c r="AK248" s="16">
        <v>45</v>
      </c>
      <c r="AL248" s="16">
        <v>0</v>
      </c>
      <c r="AM248" s="16">
        <v>-2403</v>
      </c>
      <c r="AN248" s="16">
        <v>0</v>
      </c>
      <c r="AO248" s="16">
        <v>-2257</v>
      </c>
      <c r="AP248" s="16">
        <v>4423</v>
      </c>
      <c r="AQ248" s="5" t="s">
        <v>159</v>
      </c>
    </row>
    <row r="249" spans="1:43" x14ac:dyDescent="0.3">
      <c r="A249" s="9" t="s">
        <v>521</v>
      </c>
      <c r="B249" s="11" t="s">
        <v>520</v>
      </c>
      <c r="C249" s="16">
        <v>0</v>
      </c>
      <c r="D249" s="16">
        <v>0</v>
      </c>
      <c r="E249" s="16">
        <v>0</v>
      </c>
      <c r="F249" s="16">
        <v>0</v>
      </c>
      <c r="G249" s="16">
        <v>0</v>
      </c>
      <c r="H249" s="16">
        <v>-1000</v>
      </c>
      <c r="I249" s="16">
        <v>-230.62</v>
      </c>
      <c r="J249" s="16">
        <v>-908</v>
      </c>
      <c r="K249" s="16">
        <v>0</v>
      </c>
      <c r="L249" s="16">
        <v>-8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-2139</v>
      </c>
      <c r="AE249" s="16">
        <v>-2139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-1602</v>
      </c>
      <c r="AN249" s="16">
        <v>0</v>
      </c>
      <c r="AO249" s="16">
        <v>-1602</v>
      </c>
      <c r="AP249" s="16">
        <v>1602</v>
      </c>
      <c r="AQ249" s="5" t="s">
        <v>159</v>
      </c>
    </row>
    <row r="250" spans="1:43" x14ac:dyDescent="0.3">
      <c r="A250" s="9" t="s">
        <v>523</v>
      </c>
      <c r="B250" s="11" t="s">
        <v>522</v>
      </c>
      <c r="C250" s="16">
        <v>0</v>
      </c>
      <c r="D250" s="16">
        <v>0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119</v>
      </c>
      <c r="P250" s="16">
        <v>0</v>
      </c>
      <c r="Q250" s="16">
        <v>4.5</v>
      </c>
      <c r="R250" s="16">
        <v>0</v>
      </c>
      <c r="S250" s="16">
        <v>0</v>
      </c>
      <c r="T250" s="16">
        <v>0</v>
      </c>
      <c r="U250" s="16">
        <v>0</v>
      </c>
      <c r="V250" s="16">
        <v>119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-2403</v>
      </c>
      <c r="AN250" s="16">
        <v>0</v>
      </c>
      <c r="AO250" s="16">
        <v>-2403</v>
      </c>
      <c r="AP250" s="16">
        <v>2403</v>
      </c>
      <c r="AQ250" s="5" t="s">
        <v>159</v>
      </c>
    </row>
    <row r="251" spans="1:43" x14ac:dyDescent="0.3">
      <c r="A251" s="9" t="s">
        <v>525</v>
      </c>
      <c r="B251" s="11" t="s">
        <v>524</v>
      </c>
      <c r="C251" s="16">
        <v>-695</v>
      </c>
      <c r="D251" s="16">
        <v>-379</v>
      </c>
      <c r="E251" s="16">
        <v>-63</v>
      </c>
      <c r="F251" s="16">
        <v>-89</v>
      </c>
      <c r="G251" s="16">
        <v>-38</v>
      </c>
      <c r="H251" s="16">
        <v>0</v>
      </c>
      <c r="I251" s="16">
        <v>384.31</v>
      </c>
      <c r="J251" s="16">
        <v>0</v>
      </c>
      <c r="K251" s="16">
        <v>-1345</v>
      </c>
      <c r="L251" s="16">
        <v>0</v>
      </c>
      <c r="M251" s="16">
        <v>0</v>
      </c>
      <c r="N251" s="16">
        <v>0</v>
      </c>
      <c r="O251" s="16">
        <v>17</v>
      </c>
      <c r="P251" s="16">
        <v>0</v>
      </c>
      <c r="Q251" s="16">
        <v>7.5</v>
      </c>
      <c r="R251" s="16">
        <v>3</v>
      </c>
      <c r="S251" s="16">
        <v>12</v>
      </c>
      <c r="T251" s="16">
        <v>0</v>
      </c>
      <c r="U251" s="16">
        <v>1</v>
      </c>
      <c r="V251" s="16">
        <v>17</v>
      </c>
      <c r="W251" s="16">
        <v>-885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-81</v>
      </c>
      <c r="AD251" s="16">
        <v>384</v>
      </c>
      <c r="AE251" s="16">
        <v>381</v>
      </c>
      <c r="AF251" s="16">
        <v>-1345</v>
      </c>
      <c r="AG251" s="16">
        <v>-106</v>
      </c>
      <c r="AH251" s="16">
        <v>-10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-116</v>
      </c>
      <c r="AP251" s="16">
        <v>-1229</v>
      </c>
      <c r="AQ251" s="5" t="s">
        <v>159</v>
      </c>
    </row>
    <row r="252" spans="1:43" x14ac:dyDescent="0.3">
      <c r="A252" s="9" t="s">
        <v>527</v>
      </c>
      <c r="B252" s="11" t="s">
        <v>526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-1000</v>
      </c>
      <c r="I252" s="16">
        <v>385</v>
      </c>
      <c r="J252" s="16">
        <v>451</v>
      </c>
      <c r="K252" s="16">
        <v>0</v>
      </c>
      <c r="L252" s="16">
        <v>4</v>
      </c>
      <c r="M252" s="16">
        <v>0</v>
      </c>
      <c r="N252" s="16">
        <v>0</v>
      </c>
      <c r="O252" s="16">
        <v>131</v>
      </c>
      <c r="P252" s="16">
        <v>0</v>
      </c>
      <c r="Q252" s="16">
        <v>10</v>
      </c>
      <c r="R252" s="16">
        <v>0</v>
      </c>
      <c r="S252" s="16">
        <v>0</v>
      </c>
      <c r="T252" s="16">
        <v>0</v>
      </c>
      <c r="U252" s="16">
        <v>0</v>
      </c>
      <c r="V252" s="16">
        <v>131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-164</v>
      </c>
      <c r="AE252" s="16">
        <v>-164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-1602</v>
      </c>
      <c r="AN252" s="16">
        <v>0</v>
      </c>
      <c r="AO252" s="16">
        <v>-1602</v>
      </c>
      <c r="AP252" s="16">
        <v>1602</v>
      </c>
      <c r="AQ252" s="5" t="s">
        <v>159</v>
      </c>
    </row>
    <row r="253" spans="1:43" x14ac:dyDescent="0.3">
      <c r="A253" s="9" t="s">
        <v>529</v>
      </c>
      <c r="B253" s="11" t="s">
        <v>528</v>
      </c>
      <c r="C253" s="16">
        <v>0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-2957</v>
      </c>
      <c r="K253" s="16">
        <v>0</v>
      </c>
      <c r="L253" s="16">
        <v>-13</v>
      </c>
      <c r="M253" s="16">
        <v>0</v>
      </c>
      <c r="N253" s="16">
        <v>0</v>
      </c>
      <c r="O253" s="16">
        <v>381</v>
      </c>
      <c r="P253" s="16">
        <v>0</v>
      </c>
      <c r="Q253" s="16">
        <v>15</v>
      </c>
      <c r="R253" s="16">
        <v>0</v>
      </c>
      <c r="S253" s="16">
        <v>0</v>
      </c>
      <c r="T253" s="16">
        <v>0</v>
      </c>
      <c r="U253" s="16">
        <v>0</v>
      </c>
      <c r="V253" s="16">
        <v>381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-2957</v>
      </c>
      <c r="AE253" s="16">
        <v>-2957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-2403</v>
      </c>
      <c r="AN253" s="16">
        <v>0</v>
      </c>
      <c r="AO253" s="16">
        <v>-2403</v>
      </c>
      <c r="AP253" s="16">
        <v>2403</v>
      </c>
      <c r="AQ253" s="5" t="s">
        <v>159</v>
      </c>
    </row>
    <row r="254" spans="1:43" x14ac:dyDescent="0.3">
      <c r="A254" s="9" t="s">
        <v>531</v>
      </c>
      <c r="B254" s="11" t="s">
        <v>530</v>
      </c>
      <c r="C254" s="16">
        <v>-9134</v>
      </c>
      <c r="D254" s="16">
        <v>-4982</v>
      </c>
      <c r="E254" s="16">
        <v>-831</v>
      </c>
      <c r="F254" s="16">
        <v>-1163</v>
      </c>
      <c r="G254" s="16">
        <v>-499</v>
      </c>
      <c r="H254" s="16">
        <v>0</v>
      </c>
      <c r="I254" s="16">
        <v>0</v>
      </c>
      <c r="J254" s="16">
        <v>-1361</v>
      </c>
      <c r="K254" s="16">
        <v>0</v>
      </c>
      <c r="L254" s="16">
        <v>-12</v>
      </c>
      <c r="M254" s="16">
        <v>0</v>
      </c>
      <c r="N254" s="16">
        <v>0</v>
      </c>
      <c r="O254" s="16">
        <v>-950</v>
      </c>
      <c r="P254" s="16">
        <v>0</v>
      </c>
      <c r="Q254" s="16">
        <v>7.5</v>
      </c>
      <c r="R254" s="16">
        <v>0</v>
      </c>
      <c r="S254" s="16">
        <v>0</v>
      </c>
      <c r="T254" s="16">
        <v>0</v>
      </c>
      <c r="U254" s="16">
        <v>0</v>
      </c>
      <c r="V254" s="16">
        <v>-950</v>
      </c>
      <c r="W254" s="16">
        <v>-11610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-6317</v>
      </c>
      <c r="AD254" s="16">
        <v>-1361</v>
      </c>
      <c r="AE254" s="16">
        <v>-1361</v>
      </c>
      <c r="AF254" s="16">
        <v>-22926</v>
      </c>
      <c r="AG254" s="16">
        <v>-1393</v>
      </c>
      <c r="AH254" s="16">
        <v>0</v>
      </c>
      <c r="AI254" s="16">
        <v>-136</v>
      </c>
      <c r="AJ254" s="16">
        <v>0</v>
      </c>
      <c r="AK254" s="16">
        <v>-465</v>
      </c>
      <c r="AL254" s="16">
        <v>0</v>
      </c>
      <c r="AM254" s="16">
        <v>-801</v>
      </c>
      <c r="AN254" s="16">
        <v>0</v>
      </c>
      <c r="AO254" s="16">
        <v>-2795</v>
      </c>
      <c r="AP254" s="16">
        <v>-20131</v>
      </c>
      <c r="AQ254" s="5" t="s">
        <v>159</v>
      </c>
    </row>
    <row r="255" spans="1:43" x14ac:dyDescent="0.3">
      <c r="A255" s="9" t="s">
        <v>533</v>
      </c>
      <c r="B255" s="11" t="s">
        <v>532</v>
      </c>
      <c r="C255" s="16">
        <v>4647</v>
      </c>
      <c r="D255" s="16">
        <v>2534</v>
      </c>
      <c r="E255" s="16">
        <v>423</v>
      </c>
      <c r="F255" s="16">
        <v>591</v>
      </c>
      <c r="G255" s="16">
        <v>253</v>
      </c>
      <c r="H255" s="16">
        <v>0</v>
      </c>
      <c r="I255" s="16">
        <v>67.459999999999994</v>
      </c>
      <c r="J255" s="16">
        <v>3532</v>
      </c>
      <c r="K255" s="16">
        <v>0</v>
      </c>
      <c r="L255" s="16">
        <v>28.5</v>
      </c>
      <c r="M255" s="16">
        <v>0</v>
      </c>
      <c r="N255" s="16">
        <v>0</v>
      </c>
      <c r="O255" s="16">
        <v>567</v>
      </c>
      <c r="P255" s="16">
        <v>0</v>
      </c>
      <c r="Q255" s="16">
        <v>6.5</v>
      </c>
      <c r="R255" s="16">
        <v>0</v>
      </c>
      <c r="S255" s="16">
        <v>0</v>
      </c>
      <c r="T255" s="16">
        <v>0</v>
      </c>
      <c r="U255" s="16">
        <v>0</v>
      </c>
      <c r="V255" s="16">
        <v>567</v>
      </c>
      <c r="W255" s="16">
        <v>5042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2344</v>
      </c>
      <c r="AD255" s="16">
        <v>3599</v>
      </c>
      <c r="AE255" s="16">
        <v>3599</v>
      </c>
      <c r="AF255" s="16">
        <v>10792</v>
      </c>
      <c r="AG255" s="16">
        <v>605</v>
      </c>
      <c r="AH255" s="16">
        <v>0</v>
      </c>
      <c r="AI255" s="16">
        <v>0</v>
      </c>
      <c r="AJ255" s="16">
        <v>0</v>
      </c>
      <c r="AK255" s="16">
        <v>217</v>
      </c>
      <c r="AL255" s="16">
        <v>0</v>
      </c>
      <c r="AM255" s="16">
        <v>0</v>
      </c>
      <c r="AN255" s="16">
        <v>0</v>
      </c>
      <c r="AO255" s="16">
        <v>822</v>
      </c>
      <c r="AP255" s="16">
        <v>9970</v>
      </c>
      <c r="AQ255" s="5" t="s">
        <v>159</v>
      </c>
    </row>
    <row r="256" spans="1:43" x14ac:dyDescent="0.3">
      <c r="A256" s="9" t="s">
        <v>535</v>
      </c>
      <c r="B256" s="11" t="s">
        <v>534</v>
      </c>
      <c r="C256" s="16">
        <v>0</v>
      </c>
      <c r="D256" s="16">
        <v>0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448</v>
      </c>
      <c r="P256" s="16">
        <v>0</v>
      </c>
      <c r="Q256" s="16">
        <v>25.5</v>
      </c>
      <c r="R256" s="16">
        <v>0</v>
      </c>
      <c r="S256" s="16">
        <v>0</v>
      </c>
      <c r="T256" s="16">
        <v>0</v>
      </c>
      <c r="U256" s="16">
        <v>0</v>
      </c>
      <c r="V256" s="16">
        <v>448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-2403</v>
      </c>
      <c r="AN256" s="16">
        <v>0</v>
      </c>
      <c r="AO256" s="16">
        <v>-2403</v>
      </c>
      <c r="AP256" s="16">
        <v>2403</v>
      </c>
      <c r="AQ256" s="5" t="s">
        <v>159</v>
      </c>
    </row>
    <row r="257" spans="1:43" x14ac:dyDescent="0.3">
      <c r="A257" s="9" t="s">
        <v>537</v>
      </c>
      <c r="B257" s="11" t="s">
        <v>536</v>
      </c>
      <c r="C257" s="16">
        <v>0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-1135</v>
      </c>
      <c r="K257" s="16">
        <v>0</v>
      </c>
      <c r="L257" s="16">
        <v>-10</v>
      </c>
      <c r="M257" s="16">
        <v>0</v>
      </c>
      <c r="N257" s="16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-1135</v>
      </c>
      <c r="AE257" s="16">
        <v>-1135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-3204</v>
      </c>
      <c r="AN257" s="16">
        <v>0</v>
      </c>
      <c r="AO257" s="16">
        <v>-3204</v>
      </c>
      <c r="AP257" s="16">
        <v>3204</v>
      </c>
      <c r="AQ257" s="5" t="s">
        <v>159</v>
      </c>
    </row>
    <row r="258" spans="1:43" x14ac:dyDescent="0.3">
      <c r="A258" s="9" t="s">
        <v>539</v>
      </c>
      <c r="B258" s="11" t="s">
        <v>538</v>
      </c>
      <c r="C258" s="16">
        <v>4798</v>
      </c>
      <c r="D258" s="16">
        <v>2617</v>
      </c>
      <c r="E258" s="16">
        <v>436</v>
      </c>
      <c r="F258" s="16">
        <v>611</v>
      </c>
      <c r="G258" s="16">
        <v>261</v>
      </c>
      <c r="H258" s="16">
        <v>0</v>
      </c>
      <c r="I258" s="16">
        <v>77</v>
      </c>
      <c r="J258" s="16">
        <v>908</v>
      </c>
      <c r="K258" s="16">
        <v>0</v>
      </c>
      <c r="L258" s="16">
        <v>8</v>
      </c>
      <c r="M258" s="16">
        <v>0</v>
      </c>
      <c r="N258" s="16">
        <v>0</v>
      </c>
      <c r="O258" s="16">
        <v>519</v>
      </c>
      <c r="P258" s="16">
        <v>0</v>
      </c>
      <c r="Q258" s="16">
        <v>7.5</v>
      </c>
      <c r="R258" s="16">
        <v>0</v>
      </c>
      <c r="S258" s="16">
        <v>0</v>
      </c>
      <c r="T258" s="16">
        <v>0</v>
      </c>
      <c r="U258" s="16">
        <v>0</v>
      </c>
      <c r="V258" s="16">
        <v>519</v>
      </c>
      <c r="W258" s="16">
        <v>6106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1285</v>
      </c>
      <c r="AD258" s="16">
        <v>985</v>
      </c>
      <c r="AE258" s="16">
        <v>985</v>
      </c>
      <c r="AF258" s="16">
        <v>10008</v>
      </c>
      <c r="AG258" s="16">
        <v>732</v>
      </c>
      <c r="AH258" s="16">
        <v>0</v>
      </c>
      <c r="AI258" s="16">
        <v>37</v>
      </c>
      <c r="AJ258" s="16">
        <v>0</v>
      </c>
      <c r="AK258" s="16">
        <v>244</v>
      </c>
      <c r="AL258" s="16">
        <v>0</v>
      </c>
      <c r="AM258" s="16">
        <v>0</v>
      </c>
      <c r="AN258" s="16">
        <v>0</v>
      </c>
      <c r="AO258" s="16">
        <v>1013</v>
      </c>
      <c r="AP258" s="16">
        <v>8995</v>
      </c>
      <c r="AQ258" s="5" t="s">
        <v>159</v>
      </c>
    </row>
    <row r="259" spans="1:43" x14ac:dyDescent="0.3">
      <c r="A259" s="9" t="s">
        <v>541</v>
      </c>
      <c r="B259" s="11" t="s">
        <v>540</v>
      </c>
      <c r="C259" s="16">
        <v>0</v>
      </c>
      <c r="D259" s="16">
        <v>0</v>
      </c>
      <c r="E259" s="16">
        <v>0</v>
      </c>
      <c r="F259" s="16">
        <v>0</v>
      </c>
      <c r="G259" s="16">
        <v>0</v>
      </c>
      <c r="H259" s="16">
        <v>1000</v>
      </c>
      <c r="I259" s="16">
        <v>-57.62</v>
      </c>
      <c r="J259" s="16">
        <v>1706</v>
      </c>
      <c r="K259" s="16">
        <v>0</v>
      </c>
      <c r="L259" s="16">
        <v>16</v>
      </c>
      <c r="M259" s="16">
        <v>0</v>
      </c>
      <c r="N259" s="16">
        <v>500</v>
      </c>
      <c r="O259" s="16">
        <v>91</v>
      </c>
      <c r="P259" s="16">
        <v>0</v>
      </c>
      <c r="Q259" s="16">
        <v>9</v>
      </c>
      <c r="R259" s="16">
        <v>24</v>
      </c>
      <c r="S259" s="16">
        <v>103</v>
      </c>
      <c r="T259" s="16">
        <v>0</v>
      </c>
      <c r="U259" s="16">
        <v>3</v>
      </c>
      <c r="V259" s="16">
        <v>91</v>
      </c>
      <c r="W259" s="16">
        <v>0</v>
      </c>
      <c r="X259" s="16">
        <v>500</v>
      </c>
      <c r="Y259" s="16">
        <v>3.75</v>
      </c>
      <c r="Z259" s="16">
        <v>16.25</v>
      </c>
      <c r="AA259" s="16">
        <v>483.75</v>
      </c>
      <c r="AB259" s="16">
        <v>0</v>
      </c>
      <c r="AC259" s="16">
        <v>0</v>
      </c>
      <c r="AD259" s="16">
        <v>3148</v>
      </c>
      <c r="AE259" s="16">
        <v>3124</v>
      </c>
      <c r="AF259" s="16">
        <v>0</v>
      </c>
      <c r="AG259" s="16">
        <v>0</v>
      </c>
      <c r="AH259" s="16">
        <v>0</v>
      </c>
      <c r="AI259" s="16">
        <v>0</v>
      </c>
      <c r="AJ259" s="16">
        <v>0</v>
      </c>
      <c r="AK259" s="16">
        <v>0</v>
      </c>
      <c r="AL259" s="16">
        <v>0</v>
      </c>
      <c r="AM259" s="16">
        <v>0</v>
      </c>
      <c r="AN259" s="16">
        <v>0</v>
      </c>
      <c r="AO259" s="16">
        <v>0</v>
      </c>
      <c r="AP259" s="16">
        <v>0</v>
      </c>
      <c r="AQ259" s="5" t="s">
        <v>159</v>
      </c>
    </row>
    <row r="260" spans="1:43" x14ac:dyDescent="0.3">
      <c r="A260" s="9" t="s">
        <v>543</v>
      </c>
      <c r="B260" s="11" t="s">
        <v>542</v>
      </c>
      <c r="C260" s="16">
        <v>-1065</v>
      </c>
      <c r="D260" s="16">
        <v>-581</v>
      </c>
      <c r="E260" s="16">
        <v>-97</v>
      </c>
      <c r="F260" s="16">
        <v>-135</v>
      </c>
      <c r="G260" s="16">
        <v>-58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-1936</v>
      </c>
      <c r="AG260" s="16">
        <v>0</v>
      </c>
      <c r="AH260" s="16">
        <v>0</v>
      </c>
      <c r="AI260" s="16">
        <v>0</v>
      </c>
      <c r="AJ260" s="16">
        <v>0</v>
      </c>
      <c r="AK260" s="16">
        <v>-77</v>
      </c>
      <c r="AL260" s="16">
        <v>0</v>
      </c>
      <c r="AM260" s="16">
        <v>0</v>
      </c>
      <c r="AN260" s="16">
        <v>0</v>
      </c>
      <c r="AO260" s="16">
        <v>-77</v>
      </c>
      <c r="AP260" s="16">
        <v>-1859</v>
      </c>
      <c r="AQ260" s="5" t="s">
        <v>159</v>
      </c>
    </row>
    <row r="261" spans="1:43" x14ac:dyDescent="0.3">
      <c r="A261" s="9" t="s">
        <v>545</v>
      </c>
      <c r="B261" s="11" t="s">
        <v>544</v>
      </c>
      <c r="C261" s="16">
        <v>0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  <c r="N261" s="16">
        <v>0</v>
      </c>
      <c r="O261" s="16">
        <v>-32</v>
      </c>
      <c r="P261" s="16">
        <v>0</v>
      </c>
      <c r="Q261" s="16">
        <v>-2.5</v>
      </c>
      <c r="R261" s="16">
        <v>0</v>
      </c>
      <c r="S261" s="16">
        <v>0</v>
      </c>
      <c r="T261" s="16">
        <v>0</v>
      </c>
      <c r="U261" s="16">
        <v>0</v>
      </c>
      <c r="V261" s="16">
        <v>-32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  <c r="AG261" s="16">
        <v>0</v>
      </c>
      <c r="AH261" s="16">
        <v>0</v>
      </c>
      <c r="AI261" s="16">
        <v>0</v>
      </c>
      <c r="AJ261" s="16">
        <v>0</v>
      </c>
      <c r="AK261" s="16">
        <v>0</v>
      </c>
      <c r="AL261" s="16">
        <v>0</v>
      </c>
      <c r="AM261" s="16">
        <v>-801</v>
      </c>
      <c r="AN261" s="16">
        <v>0</v>
      </c>
      <c r="AO261" s="16">
        <v>-801</v>
      </c>
      <c r="AP261" s="16">
        <v>801</v>
      </c>
      <c r="AQ261" s="5" t="s">
        <v>159</v>
      </c>
    </row>
    <row r="262" spans="1:43" x14ac:dyDescent="0.3">
      <c r="A262" s="9" t="s">
        <v>547</v>
      </c>
      <c r="B262" s="11" t="s">
        <v>546</v>
      </c>
      <c r="C262" s="16">
        <v>224</v>
      </c>
      <c r="D262" s="16">
        <v>122</v>
      </c>
      <c r="E262" s="16">
        <v>20</v>
      </c>
      <c r="F262" s="16">
        <v>28</v>
      </c>
      <c r="G262" s="16">
        <v>12</v>
      </c>
      <c r="H262" s="16">
        <v>0</v>
      </c>
      <c r="I262" s="16">
        <v>923.38</v>
      </c>
      <c r="J262" s="16">
        <v>605</v>
      </c>
      <c r="K262" s="16">
        <v>0</v>
      </c>
      <c r="L262" s="16">
        <v>5</v>
      </c>
      <c r="M262" s="16">
        <v>0</v>
      </c>
      <c r="N262" s="16">
        <v>0</v>
      </c>
      <c r="O262" s="16">
        <v>180</v>
      </c>
      <c r="P262" s="16">
        <v>0</v>
      </c>
      <c r="Q262" s="16">
        <v>10</v>
      </c>
      <c r="R262" s="16">
        <v>0</v>
      </c>
      <c r="S262" s="16">
        <v>0</v>
      </c>
      <c r="T262" s="16">
        <v>0</v>
      </c>
      <c r="U262" s="16">
        <v>0</v>
      </c>
      <c r="V262" s="16">
        <v>180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123</v>
      </c>
      <c r="AD262" s="16">
        <v>1528</v>
      </c>
      <c r="AE262" s="16">
        <v>1528</v>
      </c>
      <c r="AF262" s="16">
        <v>529</v>
      </c>
      <c r="AG262" s="16">
        <v>0</v>
      </c>
      <c r="AH262" s="16">
        <v>0</v>
      </c>
      <c r="AI262" s="16">
        <v>0</v>
      </c>
      <c r="AJ262" s="16">
        <v>0</v>
      </c>
      <c r="AK262" s="16">
        <v>11</v>
      </c>
      <c r="AL262" s="16">
        <v>0</v>
      </c>
      <c r="AM262" s="16">
        <v>-2403</v>
      </c>
      <c r="AN262" s="16">
        <v>0</v>
      </c>
      <c r="AO262" s="16">
        <v>-2392</v>
      </c>
      <c r="AP262" s="16">
        <v>2921</v>
      </c>
      <c r="AQ262" s="5" t="s">
        <v>159</v>
      </c>
    </row>
    <row r="263" spans="1:43" x14ac:dyDescent="0.3">
      <c r="A263" s="9" t="s">
        <v>549</v>
      </c>
      <c r="B263" s="11" t="s">
        <v>548</v>
      </c>
      <c r="C263" s="16">
        <v>0</v>
      </c>
      <c r="D263" s="16">
        <v>0</v>
      </c>
      <c r="E263" s="16">
        <v>0</v>
      </c>
      <c r="F263" s="16">
        <v>0</v>
      </c>
      <c r="G263" s="16">
        <v>0</v>
      </c>
      <c r="H263" s="16">
        <v>0</v>
      </c>
      <c r="I263" s="16">
        <v>0</v>
      </c>
      <c r="J263" s="16">
        <v>4367</v>
      </c>
      <c r="K263" s="16">
        <v>0</v>
      </c>
      <c r="L263" s="16">
        <v>38.5</v>
      </c>
      <c r="M263" s="16">
        <v>0</v>
      </c>
      <c r="N263" s="16">
        <v>0</v>
      </c>
      <c r="O263" s="16">
        <v>150</v>
      </c>
      <c r="P263" s="16">
        <v>500</v>
      </c>
      <c r="Q263" s="16">
        <v>10</v>
      </c>
      <c r="R263" s="16">
        <v>0</v>
      </c>
      <c r="S263" s="16">
        <v>0</v>
      </c>
      <c r="T263" s="16">
        <v>0</v>
      </c>
      <c r="U263" s="16">
        <v>0</v>
      </c>
      <c r="V263" s="16">
        <v>150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4867</v>
      </c>
      <c r="AE263" s="16">
        <v>4867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16">
        <v>0</v>
      </c>
      <c r="AL263" s="16">
        <v>0</v>
      </c>
      <c r="AM263" s="16">
        <v>-1602</v>
      </c>
      <c r="AN263" s="16">
        <v>0</v>
      </c>
      <c r="AO263" s="16">
        <v>-1602</v>
      </c>
      <c r="AP263" s="16">
        <v>1602</v>
      </c>
      <c r="AQ263" s="5" t="s">
        <v>159</v>
      </c>
    </row>
    <row r="264" spans="1:43" x14ac:dyDescent="0.3">
      <c r="A264" s="9" t="s">
        <v>551</v>
      </c>
      <c r="B264" s="11" t="s">
        <v>550</v>
      </c>
      <c r="C264" s="16">
        <v>-362</v>
      </c>
      <c r="D264" s="16">
        <v>-198</v>
      </c>
      <c r="E264" s="16">
        <v>-33</v>
      </c>
      <c r="F264" s="16">
        <v>-46</v>
      </c>
      <c r="G264" s="16">
        <v>-20</v>
      </c>
      <c r="H264" s="16">
        <v>-1000</v>
      </c>
      <c r="I264" s="16">
        <v>-1000.31</v>
      </c>
      <c r="J264" s="16">
        <v>-4324</v>
      </c>
      <c r="K264" s="16">
        <v>0</v>
      </c>
      <c r="L264" s="16">
        <v>-40</v>
      </c>
      <c r="M264" s="16">
        <v>0</v>
      </c>
      <c r="N264" s="16">
        <v>-500</v>
      </c>
      <c r="O264" s="16">
        <v>81</v>
      </c>
      <c r="P264" s="16">
        <v>-1000</v>
      </c>
      <c r="Q264" s="16">
        <v>9</v>
      </c>
      <c r="R264" s="16">
        <v>0</v>
      </c>
      <c r="S264" s="16">
        <v>0</v>
      </c>
      <c r="T264" s="16">
        <v>0</v>
      </c>
      <c r="U264" s="16">
        <v>0</v>
      </c>
      <c r="V264" s="16">
        <v>81</v>
      </c>
      <c r="W264" s="16">
        <v>-461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-172</v>
      </c>
      <c r="AD264" s="16">
        <v>-7824</v>
      </c>
      <c r="AE264" s="16">
        <v>-7824</v>
      </c>
      <c r="AF264" s="16">
        <v>-831</v>
      </c>
      <c r="AG264" s="16">
        <v>-55</v>
      </c>
      <c r="AH264" s="16">
        <v>0</v>
      </c>
      <c r="AI264" s="16">
        <v>0</v>
      </c>
      <c r="AJ264" s="16">
        <v>0</v>
      </c>
      <c r="AK264" s="16">
        <v>0</v>
      </c>
      <c r="AL264" s="16">
        <v>0</v>
      </c>
      <c r="AM264" s="16">
        <v>-2403</v>
      </c>
      <c r="AN264" s="16">
        <v>0</v>
      </c>
      <c r="AO264" s="16">
        <v>-2458</v>
      </c>
      <c r="AP264" s="16">
        <v>1627</v>
      </c>
      <c r="AQ264" s="5" t="s">
        <v>159</v>
      </c>
    </row>
    <row r="265" spans="1:43" x14ac:dyDescent="0.3">
      <c r="A265" s="9" t="s">
        <v>553</v>
      </c>
      <c r="B265" s="11" t="s">
        <v>552</v>
      </c>
      <c r="C265" s="16">
        <v>-791</v>
      </c>
      <c r="D265" s="16">
        <v>-432</v>
      </c>
      <c r="E265" s="16">
        <v>-72</v>
      </c>
      <c r="F265" s="16">
        <v>-101</v>
      </c>
      <c r="G265" s="16">
        <v>-43</v>
      </c>
      <c r="H265" s="16">
        <v>0</v>
      </c>
      <c r="I265" s="16">
        <v>230.38</v>
      </c>
      <c r="J265" s="16">
        <v>1761</v>
      </c>
      <c r="K265" s="16">
        <v>-1706</v>
      </c>
      <c r="L265" s="16">
        <v>20</v>
      </c>
      <c r="M265" s="16">
        <v>0</v>
      </c>
      <c r="N265" s="16">
        <v>0</v>
      </c>
      <c r="O265" s="16">
        <v>-211</v>
      </c>
      <c r="P265" s="16">
        <v>0</v>
      </c>
      <c r="Q265" s="16">
        <v>-16</v>
      </c>
      <c r="R265" s="16">
        <v>15</v>
      </c>
      <c r="S265" s="16">
        <v>65</v>
      </c>
      <c r="T265" s="16">
        <v>-2</v>
      </c>
      <c r="U265" s="16">
        <v>-7</v>
      </c>
      <c r="V265" s="16">
        <v>-209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-267</v>
      </c>
      <c r="AD265" s="16">
        <v>1991</v>
      </c>
      <c r="AE265" s="16">
        <v>1976</v>
      </c>
      <c r="AF265" s="16">
        <v>-1706</v>
      </c>
      <c r="AG265" s="16">
        <v>0</v>
      </c>
      <c r="AH265" s="16">
        <v>-13</v>
      </c>
      <c r="AI265" s="16">
        <v>0</v>
      </c>
      <c r="AJ265" s="16">
        <v>0</v>
      </c>
      <c r="AK265" s="16">
        <v>-52</v>
      </c>
      <c r="AL265" s="16">
        <v>0</v>
      </c>
      <c r="AM265" s="16">
        <v>0</v>
      </c>
      <c r="AN265" s="16">
        <v>0</v>
      </c>
      <c r="AO265" s="16">
        <v>-65</v>
      </c>
      <c r="AP265" s="16">
        <v>-1641</v>
      </c>
      <c r="AQ265" s="5" t="s">
        <v>159</v>
      </c>
    </row>
    <row r="266" spans="1:43" x14ac:dyDescent="0.3">
      <c r="A266" s="9" t="s">
        <v>555</v>
      </c>
      <c r="B266" s="11" t="s">
        <v>554</v>
      </c>
      <c r="C266" s="16">
        <v>0</v>
      </c>
      <c r="D266" s="16">
        <v>0</v>
      </c>
      <c r="E266" s="16">
        <v>0</v>
      </c>
      <c r="F266" s="16">
        <v>0</v>
      </c>
      <c r="G266" s="16">
        <v>0</v>
      </c>
      <c r="H266" s="16">
        <v>1000</v>
      </c>
      <c r="I266" s="16">
        <v>-442</v>
      </c>
      <c r="J266" s="16">
        <v>412</v>
      </c>
      <c r="K266" s="16">
        <v>0</v>
      </c>
      <c r="L266" s="16">
        <v>4</v>
      </c>
      <c r="M266" s="16">
        <v>0</v>
      </c>
      <c r="N266" s="16">
        <v>0</v>
      </c>
      <c r="O266" s="16">
        <v>118</v>
      </c>
      <c r="P266" s="16">
        <v>0</v>
      </c>
      <c r="Q266" s="16">
        <v>10</v>
      </c>
      <c r="R266" s="16">
        <v>0</v>
      </c>
      <c r="S266" s="16">
        <v>0</v>
      </c>
      <c r="T266" s="16">
        <v>0</v>
      </c>
      <c r="U266" s="16">
        <v>0</v>
      </c>
      <c r="V266" s="16">
        <v>118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970</v>
      </c>
      <c r="AE266" s="16">
        <v>970</v>
      </c>
      <c r="AF266" s="16">
        <v>0</v>
      </c>
      <c r="AG266" s="16">
        <v>0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-1602</v>
      </c>
      <c r="AN266" s="16">
        <v>0</v>
      </c>
      <c r="AO266" s="16">
        <v>-1602</v>
      </c>
      <c r="AP266" s="16">
        <v>1602</v>
      </c>
      <c r="AQ266" s="5" t="s">
        <v>159</v>
      </c>
    </row>
    <row r="267" spans="1:43" x14ac:dyDescent="0.3">
      <c r="A267" s="9" t="s">
        <v>557</v>
      </c>
      <c r="B267" s="11" t="s">
        <v>556</v>
      </c>
      <c r="C267" s="16">
        <v>0</v>
      </c>
      <c r="D267" s="16">
        <v>0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208</v>
      </c>
      <c r="P267" s="16">
        <v>0</v>
      </c>
      <c r="Q267" s="16">
        <v>7.5</v>
      </c>
      <c r="R267" s="16">
        <v>0</v>
      </c>
      <c r="S267" s="16">
        <v>0</v>
      </c>
      <c r="T267" s="16">
        <v>0</v>
      </c>
      <c r="U267" s="16">
        <v>0</v>
      </c>
      <c r="V267" s="16">
        <v>208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  <c r="AG267" s="16">
        <v>0</v>
      </c>
      <c r="AH267" s="16">
        <v>0</v>
      </c>
      <c r="AI267" s="16">
        <v>0</v>
      </c>
      <c r="AJ267" s="16">
        <v>0</v>
      </c>
      <c r="AK267" s="16">
        <v>0</v>
      </c>
      <c r="AL267" s="16">
        <v>0</v>
      </c>
      <c r="AM267" s="16">
        <v>-2403</v>
      </c>
      <c r="AN267" s="16">
        <v>0</v>
      </c>
      <c r="AO267" s="16">
        <v>-2403</v>
      </c>
      <c r="AP267" s="16">
        <v>2403</v>
      </c>
      <c r="AQ267" s="5" t="s">
        <v>159</v>
      </c>
    </row>
    <row r="268" spans="1:43" x14ac:dyDescent="0.3">
      <c r="A268" s="9" t="s">
        <v>559</v>
      </c>
      <c r="B268" s="11" t="s">
        <v>558</v>
      </c>
      <c r="C268" s="16">
        <v>0</v>
      </c>
      <c r="D268" s="16">
        <v>0</v>
      </c>
      <c r="E268" s="16">
        <v>0</v>
      </c>
      <c r="F268" s="16">
        <v>0</v>
      </c>
      <c r="G268" s="16">
        <v>0</v>
      </c>
      <c r="H268" s="16">
        <v>0</v>
      </c>
      <c r="I268" s="16">
        <v>-230.62</v>
      </c>
      <c r="J268" s="16">
        <v>1125</v>
      </c>
      <c r="K268" s="16">
        <v>0</v>
      </c>
      <c r="L268" s="16">
        <v>12</v>
      </c>
      <c r="M268" s="16">
        <v>0</v>
      </c>
      <c r="N268" s="16">
        <v>0</v>
      </c>
      <c r="O268" s="16">
        <v>172</v>
      </c>
      <c r="P268" s="16">
        <v>0</v>
      </c>
      <c r="Q268" s="16">
        <v>17.5</v>
      </c>
      <c r="R268" s="16">
        <v>6</v>
      </c>
      <c r="S268" s="16">
        <v>29</v>
      </c>
      <c r="T268" s="16">
        <v>1</v>
      </c>
      <c r="U268" s="16">
        <v>5</v>
      </c>
      <c r="V268" s="16">
        <v>171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894</v>
      </c>
      <c r="AE268" s="16">
        <v>888</v>
      </c>
      <c r="AF268" s="16">
        <v>0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  <c r="AL268" s="16">
        <v>0</v>
      </c>
      <c r="AM268" s="16">
        <v>0</v>
      </c>
      <c r="AN268" s="16">
        <v>0</v>
      </c>
      <c r="AO268" s="16">
        <v>0</v>
      </c>
      <c r="AP268" s="16">
        <v>0</v>
      </c>
      <c r="AQ268" s="5" t="s">
        <v>159</v>
      </c>
    </row>
    <row r="269" spans="1:43" x14ac:dyDescent="0.3">
      <c r="A269" s="9" t="s">
        <v>561</v>
      </c>
      <c r="B269" s="11" t="s">
        <v>560</v>
      </c>
      <c r="C269" s="16">
        <v>4210</v>
      </c>
      <c r="D269" s="16">
        <v>2296</v>
      </c>
      <c r="E269" s="16">
        <v>383</v>
      </c>
      <c r="F269" s="16">
        <v>536</v>
      </c>
      <c r="G269" s="16">
        <v>230</v>
      </c>
      <c r="H269" s="16">
        <v>1000</v>
      </c>
      <c r="I269" s="16">
        <v>0</v>
      </c>
      <c r="J269" s="16">
        <v>5780</v>
      </c>
      <c r="K269" s="16">
        <v>0</v>
      </c>
      <c r="L269" s="16">
        <v>51</v>
      </c>
      <c r="M269" s="16">
        <v>0</v>
      </c>
      <c r="N269" s="16">
        <v>0</v>
      </c>
      <c r="O269" s="16">
        <v>294</v>
      </c>
      <c r="P269" s="16">
        <v>500</v>
      </c>
      <c r="Q269" s="16">
        <v>-5.5</v>
      </c>
      <c r="R269" s="16">
        <v>0</v>
      </c>
      <c r="S269" s="16">
        <v>0</v>
      </c>
      <c r="T269" s="16">
        <v>0</v>
      </c>
      <c r="U269" s="16">
        <v>0</v>
      </c>
      <c r="V269" s="16">
        <v>294</v>
      </c>
      <c r="W269" s="16">
        <v>5357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1429</v>
      </c>
      <c r="AD269" s="16">
        <v>7280</v>
      </c>
      <c r="AE269" s="16">
        <v>7280</v>
      </c>
      <c r="AF269" s="16">
        <v>9084</v>
      </c>
      <c r="AG269" s="16">
        <v>643</v>
      </c>
      <c r="AH269" s="16">
        <v>0</v>
      </c>
      <c r="AI269" s="16">
        <v>0</v>
      </c>
      <c r="AJ269" s="16">
        <v>0</v>
      </c>
      <c r="AK269" s="16">
        <v>214</v>
      </c>
      <c r="AL269" s="16">
        <v>0</v>
      </c>
      <c r="AM269" s="16">
        <v>0</v>
      </c>
      <c r="AN269" s="16">
        <v>0</v>
      </c>
      <c r="AO269" s="16">
        <v>857</v>
      </c>
      <c r="AP269" s="16">
        <v>8227</v>
      </c>
      <c r="AQ269" s="5" t="s">
        <v>159</v>
      </c>
    </row>
    <row r="270" spans="1:43" x14ac:dyDescent="0.3">
      <c r="A270" s="9" t="s">
        <v>563</v>
      </c>
      <c r="B270" s="11" t="s">
        <v>562</v>
      </c>
      <c r="C270" s="16">
        <v>0</v>
      </c>
      <c r="D270" s="16">
        <v>0</v>
      </c>
      <c r="E270" s="16">
        <v>0</v>
      </c>
      <c r="F270" s="16">
        <v>0</v>
      </c>
      <c r="G270" s="16">
        <v>0</v>
      </c>
      <c r="H270" s="16">
        <v>-1000</v>
      </c>
      <c r="I270" s="16">
        <v>-596</v>
      </c>
      <c r="J270" s="16">
        <v>-760</v>
      </c>
      <c r="K270" s="16">
        <v>0</v>
      </c>
      <c r="L270" s="16">
        <v>-8</v>
      </c>
      <c r="M270" s="16">
        <v>0</v>
      </c>
      <c r="N270" s="16">
        <v>0</v>
      </c>
      <c r="O270" s="16">
        <v>-151</v>
      </c>
      <c r="P270" s="16">
        <v>0</v>
      </c>
      <c r="Q270" s="16">
        <v>-15</v>
      </c>
      <c r="R270" s="16">
        <v>0</v>
      </c>
      <c r="S270" s="16">
        <v>0</v>
      </c>
      <c r="T270" s="16">
        <v>0</v>
      </c>
      <c r="U270" s="16">
        <v>0</v>
      </c>
      <c r="V270" s="16">
        <v>-151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-2356</v>
      </c>
      <c r="AE270" s="16">
        <v>-2356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  <c r="AL270" s="16">
        <v>0</v>
      </c>
      <c r="AM270" s="16">
        <v>-1602</v>
      </c>
      <c r="AN270" s="16">
        <v>0</v>
      </c>
      <c r="AO270" s="16">
        <v>-1602</v>
      </c>
      <c r="AP270" s="16">
        <v>1602</v>
      </c>
      <c r="AQ270" s="5" t="s">
        <v>159</v>
      </c>
    </row>
    <row r="271" spans="1:43" x14ac:dyDescent="0.3">
      <c r="A271" s="9" t="s">
        <v>565</v>
      </c>
      <c r="B271" s="11" t="s">
        <v>564</v>
      </c>
      <c r="C271" s="16">
        <v>-10656</v>
      </c>
      <c r="D271" s="16">
        <v>-5812</v>
      </c>
      <c r="E271" s="16">
        <v>-969</v>
      </c>
      <c r="F271" s="16">
        <v>-1357</v>
      </c>
      <c r="G271" s="16">
        <v>-582</v>
      </c>
      <c r="H271" s="16">
        <v>0</v>
      </c>
      <c r="I271" s="16">
        <v>0</v>
      </c>
      <c r="J271" s="16">
        <v>-2155</v>
      </c>
      <c r="K271" s="16">
        <v>0</v>
      </c>
      <c r="L271" s="16">
        <v>-19</v>
      </c>
      <c r="M271" s="16">
        <v>0</v>
      </c>
      <c r="N271" s="16">
        <v>0</v>
      </c>
      <c r="O271" s="16">
        <v>-986</v>
      </c>
      <c r="P271" s="16">
        <v>0</v>
      </c>
      <c r="Q271" s="16">
        <v>10</v>
      </c>
      <c r="R271" s="16">
        <v>0</v>
      </c>
      <c r="S271" s="16">
        <v>0</v>
      </c>
      <c r="T271" s="16">
        <v>0</v>
      </c>
      <c r="U271" s="16">
        <v>0</v>
      </c>
      <c r="V271" s="16">
        <v>-986</v>
      </c>
      <c r="W271" s="16">
        <v>-13547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-5602</v>
      </c>
      <c r="AD271" s="16">
        <v>-2155</v>
      </c>
      <c r="AE271" s="16">
        <v>-2155</v>
      </c>
      <c r="AF271" s="16">
        <v>-24978</v>
      </c>
      <c r="AG271" s="16">
        <v>-1626</v>
      </c>
      <c r="AH271" s="16">
        <v>0</v>
      </c>
      <c r="AI271" s="16">
        <v>-208</v>
      </c>
      <c r="AJ271" s="16">
        <v>0</v>
      </c>
      <c r="AK271" s="16">
        <v>-542</v>
      </c>
      <c r="AL271" s="16">
        <v>0</v>
      </c>
      <c r="AM271" s="16">
        <v>-2403</v>
      </c>
      <c r="AN271" s="16">
        <v>0</v>
      </c>
      <c r="AO271" s="16">
        <v>-4779</v>
      </c>
      <c r="AP271" s="16">
        <v>-20199</v>
      </c>
      <c r="AQ271" s="5" t="s">
        <v>159</v>
      </c>
    </row>
    <row r="272" spans="1:43" x14ac:dyDescent="0.3">
      <c r="A272" s="9" t="s">
        <v>567</v>
      </c>
      <c r="B272" s="11" t="s">
        <v>566</v>
      </c>
      <c r="C272" s="16">
        <v>0</v>
      </c>
      <c r="D272" s="16">
        <v>0</v>
      </c>
      <c r="E272" s="16">
        <v>0</v>
      </c>
      <c r="F272" s="16">
        <v>0</v>
      </c>
      <c r="G272" s="16">
        <v>0</v>
      </c>
      <c r="H272" s="16">
        <v>-1000</v>
      </c>
      <c r="I272" s="16">
        <v>-442.23</v>
      </c>
      <c r="J272" s="16">
        <v>3743</v>
      </c>
      <c r="K272" s="16">
        <v>0</v>
      </c>
      <c r="L272" s="16">
        <v>33</v>
      </c>
      <c r="M272" s="16">
        <v>0</v>
      </c>
      <c r="N272" s="16">
        <v>500</v>
      </c>
      <c r="O272" s="16">
        <v>52</v>
      </c>
      <c r="P272" s="16">
        <v>1000</v>
      </c>
      <c r="Q272" s="16">
        <v>3.5</v>
      </c>
      <c r="R272" s="16">
        <v>0</v>
      </c>
      <c r="S272" s="16">
        <v>0</v>
      </c>
      <c r="T272" s="16">
        <v>0</v>
      </c>
      <c r="U272" s="16">
        <v>0</v>
      </c>
      <c r="V272" s="16">
        <v>52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3801</v>
      </c>
      <c r="AE272" s="16">
        <v>3801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-2403</v>
      </c>
      <c r="AN272" s="16">
        <v>0</v>
      </c>
      <c r="AO272" s="16">
        <v>-2403</v>
      </c>
      <c r="AP272" s="16">
        <v>2403</v>
      </c>
      <c r="AQ272" s="5" t="s">
        <v>159</v>
      </c>
    </row>
    <row r="273" spans="1:43" x14ac:dyDescent="0.3">
      <c r="A273" s="9" t="s">
        <v>569</v>
      </c>
      <c r="B273" s="11" t="s">
        <v>568</v>
      </c>
      <c r="C273" s="16">
        <v>60</v>
      </c>
      <c r="D273" s="16">
        <v>33</v>
      </c>
      <c r="E273" s="16">
        <v>5</v>
      </c>
      <c r="F273" s="16">
        <v>7</v>
      </c>
      <c r="G273" s="16">
        <v>4</v>
      </c>
      <c r="H273" s="16">
        <v>0</v>
      </c>
      <c r="I273" s="16">
        <v>692.23</v>
      </c>
      <c r="J273" s="16">
        <v>1768</v>
      </c>
      <c r="K273" s="16">
        <v>109</v>
      </c>
      <c r="L273" s="16">
        <v>16</v>
      </c>
      <c r="M273" s="16">
        <v>0</v>
      </c>
      <c r="N273" s="16">
        <v>1000</v>
      </c>
      <c r="O273" s="16">
        <v>94</v>
      </c>
      <c r="P273" s="16">
        <v>0</v>
      </c>
      <c r="Q273" s="16">
        <v>9</v>
      </c>
      <c r="R273" s="16">
        <v>26</v>
      </c>
      <c r="S273" s="16">
        <v>113</v>
      </c>
      <c r="T273" s="16">
        <v>1</v>
      </c>
      <c r="U273" s="16">
        <v>3</v>
      </c>
      <c r="V273" s="16">
        <v>93</v>
      </c>
      <c r="W273" s="16">
        <v>76</v>
      </c>
      <c r="X273" s="16">
        <v>1000</v>
      </c>
      <c r="Y273" s="16">
        <v>7.5</v>
      </c>
      <c r="Z273" s="16">
        <v>32.5</v>
      </c>
      <c r="AA273" s="16">
        <v>967.5</v>
      </c>
      <c r="AB273" s="16">
        <v>0</v>
      </c>
      <c r="AC273" s="16">
        <v>0</v>
      </c>
      <c r="AD273" s="16">
        <v>3460</v>
      </c>
      <c r="AE273" s="16">
        <v>3434</v>
      </c>
      <c r="AF273" s="16">
        <v>109</v>
      </c>
      <c r="AG273" s="16">
        <v>9</v>
      </c>
      <c r="AH273" s="16">
        <v>1</v>
      </c>
      <c r="AI273" s="16">
        <v>0</v>
      </c>
      <c r="AJ273" s="16">
        <v>0</v>
      </c>
      <c r="AK273" s="16">
        <v>3</v>
      </c>
      <c r="AL273" s="16">
        <v>0</v>
      </c>
      <c r="AM273" s="16">
        <v>0</v>
      </c>
      <c r="AN273" s="16">
        <v>0</v>
      </c>
      <c r="AO273" s="16">
        <v>13</v>
      </c>
      <c r="AP273" s="16">
        <v>96</v>
      </c>
      <c r="AQ273" s="5" t="s">
        <v>159</v>
      </c>
    </row>
    <row r="274" spans="1:43" x14ac:dyDescent="0.3">
      <c r="A274" s="9" t="s">
        <v>571</v>
      </c>
      <c r="B274" s="11" t="s">
        <v>570</v>
      </c>
      <c r="C274" s="16">
        <v>0</v>
      </c>
      <c r="D274" s="16">
        <v>0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397</v>
      </c>
      <c r="K274" s="16">
        <v>0</v>
      </c>
      <c r="L274" s="16">
        <v>3.5</v>
      </c>
      <c r="M274" s="16">
        <v>0</v>
      </c>
      <c r="N274" s="16">
        <v>0</v>
      </c>
      <c r="O274" s="16">
        <v>170</v>
      </c>
      <c r="P274" s="16">
        <v>0</v>
      </c>
      <c r="Q274" s="16">
        <v>15</v>
      </c>
      <c r="R274" s="16">
        <v>0</v>
      </c>
      <c r="S274" s="16">
        <v>0</v>
      </c>
      <c r="T274" s="16">
        <v>0</v>
      </c>
      <c r="U274" s="16">
        <v>0</v>
      </c>
      <c r="V274" s="16">
        <v>170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397</v>
      </c>
      <c r="AE274" s="16">
        <v>397</v>
      </c>
      <c r="AF274" s="16">
        <v>0</v>
      </c>
      <c r="AG274" s="16">
        <v>0</v>
      </c>
      <c r="AH274" s="16">
        <v>0</v>
      </c>
      <c r="AI274" s="16">
        <v>0</v>
      </c>
      <c r="AJ274" s="16">
        <v>0</v>
      </c>
      <c r="AK274" s="16">
        <v>0</v>
      </c>
      <c r="AL274" s="16">
        <v>0</v>
      </c>
      <c r="AM274" s="16">
        <v>-2403</v>
      </c>
      <c r="AN274" s="16">
        <v>0</v>
      </c>
      <c r="AO274" s="16">
        <v>-2403</v>
      </c>
      <c r="AP274" s="16">
        <v>2403</v>
      </c>
      <c r="AQ274" s="5" t="s">
        <v>159</v>
      </c>
    </row>
    <row r="275" spans="1:43" x14ac:dyDescent="0.3">
      <c r="A275" s="9" t="s">
        <v>573</v>
      </c>
      <c r="B275" s="11" t="s">
        <v>572</v>
      </c>
      <c r="C275" s="16">
        <v>0</v>
      </c>
      <c r="D275" s="16">
        <v>0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37</v>
      </c>
      <c r="P275" s="16">
        <v>0</v>
      </c>
      <c r="Q275" s="16">
        <v>1.5</v>
      </c>
      <c r="R275" s="16">
        <v>0</v>
      </c>
      <c r="S275" s="16">
        <v>0</v>
      </c>
      <c r="T275" s="16">
        <v>0</v>
      </c>
      <c r="U275" s="16">
        <v>0</v>
      </c>
      <c r="V275" s="16">
        <v>37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-3204</v>
      </c>
      <c r="AN275" s="16">
        <v>0</v>
      </c>
      <c r="AO275" s="16">
        <v>-3204</v>
      </c>
      <c r="AP275" s="16">
        <v>3204</v>
      </c>
      <c r="AQ275" s="5" t="s">
        <v>159</v>
      </c>
    </row>
    <row r="276" spans="1:43" x14ac:dyDescent="0.3">
      <c r="A276" s="9" t="s">
        <v>575</v>
      </c>
      <c r="B276" s="11" t="s">
        <v>574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-2403</v>
      </c>
      <c r="AN276" s="16">
        <v>0</v>
      </c>
      <c r="AO276" s="16">
        <v>-2403</v>
      </c>
      <c r="AP276" s="16">
        <v>2403</v>
      </c>
      <c r="AQ276" s="5" t="s">
        <v>159</v>
      </c>
    </row>
    <row r="277" spans="1:43" x14ac:dyDescent="0.3">
      <c r="A277" s="9" t="s">
        <v>577</v>
      </c>
      <c r="B277" s="11" t="s">
        <v>576</v>
      </c>
      <c r="C277" s="16">
        <v>422</v>
      </c>
      <c r="D277" s="16">
        <v>230</v>
      </c>
      <c r="E277" s="16">
        <v>39</v>
      </c>
      <c r="F277" s="16">
        <v>54</v>
      </c>
      <c r="G277" s="16">
        <v>23</v>
      </c>
      <c r="H277" s="16">
        <v>0</v>
      </c>
      <c r="I277" s="16">
        <v>0</v>
      </c>
      <c r="J277" s="16">
        <v>0</v>
      </c>
      <c r="K277" s="16">
        <v>0</v>
      </c>
      <c r="L277" s="16">
        <v>0</v>
      </c>
      <c r="M277" s="16">
        <v>0</v>
      </c>
      <c r="N277" s="16">
        <v>0</v>
      </c>
      <c r="O277" s="16">
        <v>171</v>
      </c>
      <c r="P277" s="16">
        <v>0</v>
      </c>
      <c r="Q277" s="16">
        <v>12</v>
      </c>
      <c r="R277" s="16">
        <v>0</v>
      </c>
      <c r="S277" s="16">
        <v>0</v>
      </c>
      <c r="T277" s="16">
        <v>0</v>
      </c>
      <c r="U277" s="16">
        <v>0</v>
      </c>
      <c r="V277" s="16">
        <v>171</v>
      </c>
      <c r="W277" s="16">
        <v>521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41</v>
      </c>
      <c r="AD277" s="16">
        <v>0</v>
      </c>
      <c r="AE277" s="16">
        <v>0</v>
      </c>
      <c r="AF277" s="16">
        <v>809</v>
      </c>
      <c r="AG277" s="16">
        <v>63</v>
      </c>
      <c r="AH277" s="16">
        <v>0</v>
      </c>
      <c r="AI277" s="16">
        <v>0</v>
      </c>
      <c r="AJ277" s="16">
        <v>0</v>
      </c>
      <c r="AK277" s="16">
        <v>21</v>
      </c>
      <c r="AL277" s="16">
        <v>0</v>
      </c>
      <c r="AM277" s="16">
        <v>-2403</v>
      </c>
      <c r="AN277" s="16">
        <v>0</v>
      </c>
      <c r="AO277" s="16">
        <v>-2319</v>
      </c>
      <c r="AP277" s="16">
        <v>3128</v>
      </c>
      <c r="AQ277" s="5" t="s">
        <v>159</v>
      </c>
    </row>
    <row r="278" spans="1:43" x14ac:dyDescent="0.3">
      <c r="A278" s="9" t="s">
        <v>579</v>
      </c>
      <c r="B278" s="11" t="s">
        <v>578</v>
      </c>
      <c r="C278" s="16">
        <v>812</v>
      </c>
      <c r="D278" s="16">
        <v>442</v>
      </c>
      <c r="E278" s="16">
        <v>74</v>
      </c>
      <c r="F278" s="16">
        <v>103</v>
      </c>
      <c r="G278" s="16">
        <v>44</v>
      </c>
      <c r="H278" s="16">
        <v>0</v>
      </c>
      <c r="I278" s="16">
        <v>-769.08</v>
      </c>
      <c r="J278" s="16">
        <v>-1202</v>
      </c>
      <c r="K278" s="16">
        <v>0</v>
      </c>
      <c r="L278" s="16">
        <v>-11</v>
      </c>
      <c r="M278" s="16">
        <v>0</v>
      </c>
      <c r="N278" s="16">
        <v>0</v>
      </c>
      <c r="O278" s="16">
        <v>32</v>
      </c>
      <c r="P278" s="16">
        <v>0</v>
      </c>
      <c r="Q278" s="16">
        <v>-2.5</v>
      </c>
      <c r="R278" s="16">
        <v>0</v>
      </c>
      <c r="S278" s="16">
        <v>0</v>
      </c>
      <c r="T278" s="16">
        <v>0</v>
      </c>
      <c r="U278" s="16">
        <v>0</v>
      </c>
      <c r="V278" s="16">
        <v>32</v>
      </c>
      <c r="W278" s="16">
        <v>1033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177</v>
      </c>
      <c r="AD278" s="16">
        <v>-1971</v>
      </c>
      <c r="AE278" s="16">
        <v>-1971</v>
      </c>
      <c r="AF278" s="16">
        <v>1652</v>
      </c>
      <c r="AG278" s="16">
        <v>124</v>
      </c>
      <c r="AH278" s="16">
        <v>0</v>
      </c>
      <c r="AI278" s="16">
        <v>0</v>
      </c>
      <c r="AJ278" s="16">
        <v>0</v>
      </c>
      <c r="AK278" s="16">
        <v>43</v>
      </c>
      <c r="AL278" s="16">
        <v>0</v>
      </c>
      <c r="AM278" s="16">
        <v>-1602</v>
      </c>
      <c r="AN278" s="16">
        <v>0</v>
      </c>
      <c r="AO278" s="16">
        <v>-1435</v>
      </c>
      <c r="AP278" s="16">
        <v>3087</v>
      </c>
      <c r="AQ278" s="5" t="s">
        <v>159</v>
      </c>
    </row>
    <row r="279" spans="1:43" x14ac:dyDescent="0.3">
      <c r="A279" s="9" t="s">
        <v>581</v>
      </c>
      <c r="B279" s="11" t="s">
        <v>580</v>
      </c>
      <c r="C279" s="16">
        <v>0</v>
      </c>
      <c r="D279" s="16">
        <v>0</v>
      </c>
      <c r="E279" s="16">
        <v>0</v>
      </c>
      <c r="F279" s="16">
        <v>0</v>
      </c>
      <c r="G279" s="16">
        <v>0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14</v>
      </c>
      <c r="P279" s="16">
        <v>0</v>
      </c>
      <c r="Q279" s="16">
        <v>1.6</v>
      </c>
      <c r="R279" s="16">
        <v>0</v>
      </c>
      <c r="S279" s="16">
        <v>0</v>
      </c>
      <c r="T279" s="16">
        <v>0</v>
      </c>
      <c r="U279" s="16">
        <v>0</v>
      </c>
      <c r="V279" s="16">
        <v>14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  <c r="AC279" s="16">
        <v>0</v>
      </c>
      <c r="AD279" s="16">
        <v>0</v>
      </c>
      <c r="AE279" s="16">
        <v>0</v>
      </c>
      <c r="AF279" s="16">
        <v>0</v>
      </c>
      <c r="AG279" s="16">
        <v>0</v>
      </c>
      <c r="AH279" s="16">
        <v>0</v>
      </c>
      <c r="AI279" s="16">
        <v>0</v>
      </c>
      <c r="AJ279" s="16">
        <v>0</v>
      </c>
      <c r="AK279" s="16">
        <v>0</v>
      </c>
      <c r="AL279" s="16">
        <v>0</v>
      </c>
      <c r="AM279" s="16">
        <v>0</v>
      </c>
      <c r="AN279" s="16">
        <v>0</v>
      </c>
      <c r="AO279" s="16">
        <v>0</v>
      </c>
      <c r="AP279" s="16">
        <v>0</v>
      </c>
      <c r="AQ279" s="5" t="s">
        <v>159</v>
      </c>
    </row>
    <row r="280" spans="1:43" x14ac:dyDescent="0.3">
      <c r="A280" s="9" t="s">
        <v>583</v>
      </c>
      <c r="B280" s="11" t="s">
        <v>582</v>
      </c>
      <c r="C280" s="16">
        <v>0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56</v>
      </c>
      <c r="P280" s="16">
        <v>0</v>
      </c>
      <c r="Q280" s="16">
        <v>5</v>
      </c>
      <c r="R280" s="16">
        <v>0</v>
      </c>
      <c r="S280" s="16">
        <v>0</v>
      </c>
      <c r="T280" s="16">
        <v>0</v>
      </c>
      <c r="U280" s="16">
        <v>0</v>
      </c>
      <c r="V280" s="16">
        <v>56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0</v>
      </c>
      <c r="AJ280" s="16">
        <v>0</v>
      </c>
      <c r="AK280" s="16">
        <v>0</v>
      </c>
      <c r="AL280" s="16">
        <v>0</v>
      </c>
      <c r="AM280" s="16">
        <v>-801</v>
      </c>
      <c r="AN280" s="16">
        <v>0</v>
      </c>
      <c r="AO280" s="16">
        <v>-801</v>
      </c>
      <c r="AP280" s="16">
        <v>801</v>
      </c>
      <c r="AQ280" s="5" t="s">
        <v>159</v>
      </c>
    </row>
    <row r="281" spans="1:43" x14ac:dyDescent="0.3">
      <c r="A281" s="9" t="s">
        <v>585</v>
      </c>
      <c r="B281" s="11" t="s">
        <v>584</v>
      </c>
      <c r="C281" s="16">
        <v>0</v>
      </c>
      <c r="D281" s="16">
        <v>0</v>
      </c>
      <c r="E281" s="16">
        <v>0</v>
      </c>
      <c r="F281" s="16">
        <v>0</v>
      </c>
      <c r="G281" s="16">
        <v>0</v>
      </c>
      <c r="H281" s="16">
        <v>0</v>
      </c>
      <c r="I281" s="16">
        <v>0</v>
      </c>
      <c r="J281" s="16">
        <v>993</v>
      </c>
      <c r="K281" s="16">
        <v>0</v>
      </c>
      <c r="L281" s="16">
        <v>10</v>
      </c>
      <c r="M281" s="16">
        <v>0</v>
      </c>
      <c r="N281" s="16">
        <v>0</v>
      </c>
      <c r="O281" s="16">
        <v>119</v>
      </c>
      <c r="P281" s="16">
        <v>500</v>
      </c>
      <c r="Q281" s="16">
        <v>7.5</v>
      </c>
      <c r="R281" s="16">
        <v>0</v>
      </c>
      <c r="S281" s="16">
        <v>0</v>
      </c>
      <c r="T281" s="16">
        <v>0</v>
      </c>
      <c r="U281" s="16">
        <v>0</v>
      </c>
      <c r="V281" s="16">
        <v>119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1493</v>
      </c>
      <c r="AE281" s="16">
        <v>1493</v>
      </c>
      <c r="AF281" s="16">
        <v>0</v>
      </c>
      <c r="AG281" s="16">
        <v>0</v>
      </c>
      <c r="AH281" s="16">
        <v>0</v>
      </c>
      <c r="AI281" s="16">
        <v>0</v>
      </c>
      <c r="AJ281" s="16">
        <v>0</v>
      </c>
      <c r="AK281" s="16">
        <v>0</v>
      </c>
      <c r="AL281" s="16">
        <v>0</v>
      </c>
      <c r="AM281" s="16">
        <v>-2403</v>
      </c>
      <c r="AN281" s="16">
        <v>0</v>
      </c>
      <c r="AO281" s="16">
        <v>-2403</v>
      </c>
      <c r="AP281" s="16">
        <v>2403</v>
      </c>
      <c r="AQ281" s="5" t="s">
        <v>159</v>
      </c>
    </row>
    <row r="282" spans="1:43" x14ac:dyDescent="0.3">
      <c r="A282" s="9" t="s">
        <v>587</v>
      </c>
      <c r="B282" s="11" t="s">
        <v>586</v>
      </c>
      <c r="C282" s="16">
        <v>-385</v>
      </c>
      <c r="D282" s="16">
        <v>-210</v>
      </c>
      <c r="E282" s="16">
        <v>-35</v>
      </c>
      <c r="F282" s="16">
        <v>-49</v>
      </c>
      <c r="G282" s="16">
        <v>-21</v>
      </c>
      <c r="H282" s="16">
        <v>0</v>
      </c>
      <c r="I282" s="16">
        <v>0</v>
      </c>
      <c r="J282" s="16">
        <v>8931</v>
      </c>
      <c r="K282" s="16">
        <v>0</v>
      </c>
      <c r="L282" s="16">
        <v>78</v>
      </c>
      <c r="M282" s="16">
        <v>0</v>
      </c>
      <c r="N282" s="16">
        <v>0</v>
      </c>
      <c r="O282" s="16">
        <v>-470</v>
      </c>
      <c r="P282" s="16">
        <v>1000</v>
      </c>
      <c r="Q282" s="16">
        <v>-32.5</v>
      </c>
      <c r="R282" s="16">
        <v>0</v>
      </c>
      <c r="S282" s="16">
        <v>0</v>
      </c>
      <c r="T282" s="16">
        <v>0</v>
      </c>
      <c r="U282" s="16">
        <v>0</v>
      </c>
      <c r="V282" s="16">
        <v>-470</v>
      </c>
      <c r="W282" s="16">
        <v>-333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-176</v>
      </c>
      <c r="AD282" s="16">
        <v>9931</v>
      </c>
      <c r="AE282" s="16">
        <v>9931</v>
      </c>
      <c r="AF282" s="16">
        <v>-876</v>
      </c>
      <c r="AG282" s="16">
        <v>-40</v>
      </c>
      <c r="AH282" s="16">
        <v>0</v>
      </c>
      <c r="AI282" s="16">
        <v>0</v>
      </c>
      <c r="AJ282" s="16">
        <v>0</v>
      </c>
      <c r="AK282" s="16">
        <v>0</v>
      </c>
      <c r="AL282" s="16">
        <v>0</v>
      </c>
      <c r="AM282" s="16">
        <v>-3204</v>
      </c>
      <c r="AN282" s="16">
        <v>0</v>
      </c>
      <c r="AO282" s="16">
        <v>-3244</v>
      </c>
      <c r="AP282" s="16">
        <v>2368</v>
      </c>
      <c r="AQ282" s="5" t="s">
        <v>159</v>
      </c>
    </row>
    <row r="283" spans="1:43" x14ac:dyDescent="0.3">
      <c r="A283" s="9" t="s">
        <v>589</v>
      </c>
      <c r="B283" s="11" t="s">
        <v>588</v>
      </c>
      <c r="C283" s="16">
        <v>808</v>
      </c>
      <c r="D283" s="16">
        <v>440</v>
      </c>
      <c r="E283" s="16">
        <v>74</v>
      </c>
      <c r="F283" s="16">
        <v>102</v>
      </c>
      <c r="G283" s="16">
        <v>44</v>
      </c>
      <c r="H283" s="16">
        <v>0</v>
      </c>
      <c r="I283" s="16">
        <v>0</v>
      </c>
      <c r="J283" s="16">
        <v>0</v>
      </c>
      <c r="K283" s="16">
        <v>1468</v>
      </c>
      <c r="L283" s="16">
        <v>0</v>
      </c>
      <c r="M283" s="16">
        <v>0</v>
      </c>
      <c r="N283" s="16">
        <v>0</v>
      </c>
      <c r="O283" s="16">
        <v>106</v>
      </c>
      <c r="P283" s="16">
        <v>0</v>
      </c>
      <c r="Q283" s="16">
        <v>5</v>
      </c>
      <c r="R283" s="16">
        <v>0</v>
      </c>
      <c r="S283" s="16">
        <v>0</v>
      </c>
      <c r="T283" s="16">
        <v>1</v>
      </c>
      <c r="U283" s="16">
        <v>3</v>
      </c>
      <c r="V283" s="16">
        <v>105</v>
      </c>
      <c r="W283" s="16">
        <v>1028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1468</v>
      </c>
      <c r="AG283" s="16">
        <v>123</v>
      </c>
      <c r="AH283" s="16">
        <v>11</v>
      </c>
      <c r="AI283" s="16">
        <v>0</v>
      </c>
      <c r="AJ283" s="16">
        <v>0</v>
      </c>
      <c r="AK283" s="16">
        <v>0</v>
      </c>
      <c r="AL283" s="16">
        <v>0</v>
      </c>
      <c r="AM283" s="16">
        <v>0</v>
      </c>
      <c r="AN283" s="16">
        <v>0</v>
      </c>
      <c r="AO283" s="16">
        <v>134</v>
      </c>
      <c r="AP283" s="16">
        <v>1334</v>
      </c>
      <c r="AQ283" s="5" t="s">
        <v>159</v>
      </c>
    </row>
    <row r="284" spans="1:43" x14ac:dyDescent="0.3">
      <c r="A284" s="9" t="s">
        <v>591</v>
      </c>
      <c r="B284" s="11" t="s">
        <v>590</v>
      </c>
      <c r="C284" s="16">
        <v>0</v>
      </c>
      <c r="D284" s="16">
        <v>0</v>
      </c>
      <c r="E284" s="16">
        <v>0</v>
      </c>
      <c r="F284" s="16">
        <v>0</v>
      </c>
      <c r="G284" s="16">
        <v>0</v>
      </c>
      <c r="H284" s="16">
        <v>1000</v>
      </c>
      <c r="I284" s="16">
        <v>0</v>
      </c>
      <c r="J284" s="16">
        <v>1111</v>
      </c>
      <c r="K284" s="16">
        <v>0</v>
      </c>
      <c r="L284" s="16">
        <v>10</v>
      </c>
      <c r="M284" s="16">
        <v>0</v>
      </c>
      <c r="N284" s="16">
        <v>0</v>
      </c>
      <c r="O284" s="16">
        <v>33</v>
      </c>
      <c r="P284" s="16">
        <v>0</v>
      </c>
      <c r="Q284" s="16">
        <v>2.5</v>
      </c>
      <c r="R284" s="16">
        <v>0</v>
      </c>
      <c r="S284" s="16">
        <v>0</v>
      </c>
      <c r="T284" s="16">
        <v>0</v>
      </c>
      <c r="U284" s="16">
        <v>0</v>
      </c>
      <c r="V284" s="16">
        <v>33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2111</v>
      </c>
      <c r="AE284" s="16">
        <v>2111</v>
      </c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>
        <v>-2403</v>
      </c>
      <c r="AN284" s="16">
        <v>0</v>
      </c>
      <c r="AO284" s="16">
        <v>-2403</v>
      </c>
      <c r="AP284" s="16">
        <v>2403</v>
      </c>
      <c r="AQ284" s="5" t="s">
        <v>159</v>
      </c>
    </row>
    <row r="285" spans="1:43" x14ac:dyDescent="0.3">
      <c r="A285" s="9" t="s">
        <v>593</v>
      </c>
      <c r="B285" s="11" t="s">
        <v>592</v>
      </c>
      <c r="C285" s="16">
        <v>0</v>
      </c>
      <c r="D285" s="16">
        <v>0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88</v>
      </c>
      <c r="P285" s="16">
        <v>0</v>
      </c>
      <c r="Q285" s="16">
        <v>10</v>
      </c>
      <c r="R285" s="16">
        <v>0</v>
      </c>
      <c r="S285" s="16">
        <v>0</v>
      </c>
      <c r="T285" s="16">
        <v>1</v>
      </c>
      <c r="U285" s="16">
        <v>3</v>
      </c>
      <c r="V285" s="16">
        <v>87</v>
      </c>
      <c r="W285" s="16"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0</v>
      </c>
      <c r="AJ285" s="16">
        <v>0</v>
      </c>
      <c r="AK285" s="16">
        <v>0</v>
      </c>
      <c r="AL285" s="16">
        <v>0</v>
      </c>
      <c r="AM285" s="16">
        <v>0</v>
      </c>
      <c r="AN285" s="16">
        <v>0</v>
      </c>
      <c r="AO285" s="16">
        <v>0</v>
      </c>
      <c r="AP285" s="16">
        <v>0</v>
      </c>
      <c r="AQ285" s="5" t="s">
        <v>159</v>
      </c>
    </row>
    <row r="286" spans="1:43" x14ac:dyDescent="0.3">
      <c r="A286" s="9" t="s">
        <v>595</v>
      </c>
      <c r="B286" s="11" t="s">
        <v>594</v>
      </c>
      <c r="C286" s="16">
        <v>0</v>
      </c>
      <c r="D286" s="16">
        <v>0</v>
      </c>
      <c r="E286" s="16">
        <v>0</v>
      </c>
      <c r="F286" s="16">
        <v>0</v>
      </c>
      <c r="G286" s="16">
        <v>0</v>
      </c>
      <c r="H286" s="16">
        <v>1000</v>
      </c>
      <c r="I286" s="16">
        <v>692.54</v>
      </c>
      <c r="J286" s="16">
        <v>4468</v>
      </c>
      <c r="K286" s="16">
        <v>0</v>
      </c>
      <c r="L286" s="16">
        <v>44</v>
      </c>
      <c r="M286" s="16">
        <v>0</v>
      </c>
      <c r="N286" s="16">
        <v>500</v>
      </c>
      <c r="O286" s="16">
        <v>96</v>
      </c>
      <c r="P286" s="16">
        <v>1000</v>
      </c>
      <c r="Q286" s="16">
        <v>9</v>
      </c>
      <c r="R286" s="16">
        <v>0</v>
      </c>
      <c r="S286" s="16">
        <v>0</v>
      </c>
      <c r="T286" s="16">
        <v>0</v>
      </c>
      <c r="U286" s="16">
        <v>0</v>
      </c>
      <c r="V286" s="16">
        <v>96</v>
      </c>
      <c r="W286" s="16">
        <v>0</v>
      </c>
      <c r="X286" s="16">
        <v>1500</v>
      </c>
      <c r="Y286" s="16">
        <v>11.25</v>
      </c>
      <c r="Z286" s="16">
        <v>48.75</v>
      </c>
      <c r="AA286" s="16">
        <v>1451.25</v>
      </c>
      <c r="AB286" s="16">
        <v>0</v>
      </c>
      <c r="AC286" s="16">
        <v>0</v>
      </c>
      <c r="AD286" s="16">
        <v>7661</v>
      </c>
      <c r="AE286" s="16">
        <v>7661</v>
      </c>
      <c r="AF286" s="16">
        <v>0</v>
      </c>
      <c r="AG286" s="16">
        <v>0</v>
      </c>
      <c r="AH286" s="16">
        <v>0</v>
      </c>
      <c r="AI286" s="16">
        <v>0</v>
      </c>
      <c r="AJ286" s="16">
        <v>0</v>
      </c>
      <c r="AK286" s="16">
        <v>0</v>
      </c>
      <c r="AL286" s="16">
        <v>0</v>
      </c>
      <c r="AM286" s="16">
        <v>-2403</v>
      </c>
      <c r="AN286" s="16">
        <v>0</v>
      </c>
      <c r="AO286" s="16">
        <v>-2403</v>
      </c>
      <c r="AP286" s="16">
        <v>2403</v>
      </c>
      <c r="AQ286" s="5" t="s">
        <v>159</v>
      </c>
    </row>
    <row r="287" spans="1:43" x14ac:dyDescent="0.3">
      <c r="A287" s="9" t="s">
        <v>597</v>
      </c>
      <c r="B287" s="11" t="s">
        <v>596</v>
      </c>
      <c r="C287" s="16">
        <v>0</v>
      </c>
      <c r="D287" s="16">
        <v>0</v>
      </c>
      <c r="E287" s="16">
        <v>0</v>
      </c>
      <c r="F287" s="16">
        <v>0</v>
      </c>
      <c r="G287" s="16">
        <v>0</v>
      </c>
      <c r="H287" s="16">
        <v>1000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-67</v>
      </c>
      <c r="P287" s="16">
        <v>0</v>
      </c>
      <c r="Q287" s="16">
        <v>-3.5</v>
      </c>
      <c r="R287" s="16">
        <v>0</v>
      </c>
      <c r="S287" s="16">
        <v>0</v>
      </c>
      <c r="T287" s="16">
        <v>0</v>
      </c>
      <c r="U287" s="16">
        <v>0</v>
      </c>
      <c r="V287" s="16">
        <v>-67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1000</v>
      </c>
      <c r="AE287" s="16">
        <v>1000</v>
      </c>
      <c r="AF287" s="16">
        <v>0</v>
      </c>
      <c r="AG287" s="16">
        <v>0</v>
      </c>
      <c r="AH287" s="16">
        <v>0</v>
      </c>
      <c r="AI287" s="16">
        <v>0</v>
      </c>
      <c r="AJ287" s="16">
        <v>0</v>
      </c>
      <c r="AK287" s="16">
        <v>0</v>
      </c>
      <c r="AL287" s="16">
        <v>0</v>
      </c>
      <c r="AM287" s="16">
        <v>-2403</v>
      </c>
      <c r="AN287" s="16">
        <v>0</v>
      </c>
      <c r="AO287" s="16">
        <v>-2403</v>
      </c>
      <c r="AP287" s="16">
        <v>2403</v>
      </c>
      <c r="AQ287" s="5" t="s">
        <v>159</v>
      </c>
    </row>
    <row r="288" spans="1:43" x14ac:dyDescent="0.3">
      <c r="A288" s="9" t="s">
        <v>599</v>
      </c>
      <c r="B288" s="11" t="s">
        <v>598</v>
      </c>
      <c r="C288" s="16">
        <v>631</v>
      </c>
      <c r="D288" s="16">
        <v>344</v>
      </c>
      <c r="E288" s="16">
        <v>58</v>
      </c>
      <c r="F288" s="16">
        <v>81</v>
      </c>
      <c r="G288" s="16">
        <v>34</v>
      </c>
      <c r="H288" s="16">
        <v>0</v>
      </c>
      <c r="I288" s="16">
        <v>0</v>
      </c>
      <c r="J288" s="16">
        <v>-4075</v>
      </c>
      <c r="K288" s="16">
        <v>0</v>
      </c>
      <c r="L288" s="16">
        <v>-24</v>
      </c>
      <c r="M288" s="16">
        <v>0</v>
      </c>
      <c r="N288" s="16">
        <v>0</v>
      </c>
      <c r="O288" s="16">
        <v>70</v>
      </c>
      <c r="P288" s="16">
        <v>0</v>
      </c>
      <c r="Q288" s="16">
        <v>0.5</v>
      </c>
      <c r="R288" s="16">
        <v>0</v>
      </c>
      <c r="S288" s="16">
        <v>0</v>
      </c>
      <c r="T288" s="16">
        <v>0</v>
      </c>
      <c r="U288" s="16">
        <v>0</v>
      </c>
      <c r="V288" s="16">
        <v>70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106</v>
      </c>
      <c r="AD288" s="16">
        <v>-4075</v>
      </c>
      <c r="AE288" s="16">
        <v>-4075</v>
      </c>
      <c r="AF288" s="16">
        <v>1254</v>
      </c>
      <c r="AG288" s="16">
        <v>0</v>
      </c>
      <c r="AH288" s="16">
        <v>0</v>
      </c>
      <c r="AI288" s="16">
        <v>0</v>
      </c>
      <c r="AJ288" s="16">
        <v>0</v>
      </c>
      <c r="AK288" s="16">
        <v>21</v>
      </c>
      <c r="AL288" s="16">
        <v>0</v>
      </c>
      <c r="AM288" s="16">
        <v>-2403</v>
      </c>
      <c r="AN288" s="16">
        <v>0</v>
      </c>
      <c r="AO288" s="16">
        <v>-2382</v>
      </c>
      <c r="AP288" s="16">
        <v>3636</v>
      </c>
      <c r="AQ288" s="5" t="s">
        <v>159</v>
      </c>
    </row>
    <row r="289" spans="1:43" x14ac:dyDescent="0.3">
      <c r="A289" s="9" t="s">
        <v>601</v>
      </c>
      <c r="B289" s="11" t="s">
        <v>600</v>
      </c>
      <c r="C289" s="16">
        <v>-7869</v>
      </c>
      <c r="D289" s="16">
        <v>-4292</v>
      </c>
      <c r="E289" s="16">
        <v>-715</v>
      </c>
      <c r="F289" s="16">
        <v>-1001</v>
      </c>
      <c r="G289" s="16">
        <v>-429</v>
      </c>
      <c r="H289" s="16">
        <v>-1000</v>
      </c>
      <c r="I289" s="16">
        <v>134.22999999999999</v>
      </c>
      <c r="J289" s="16">
        <v>-1279</v>
      </c>
      <c r="K289" s="16">
        <v>-14306</v>
      </c>
      <c r="L289" s="16">
        <v>-12</v>
      </c>
      <c r="M289" s="16">
        <v>0</v>
      </c>
      <c r="N289" s="16">
        <v>0</v>
      </c>
      <c r="O289" s="16">
        <v>-589</v>
      </c>
      <c r="P289" s="16">
        <v>0</v>
      </c>
      <c r="Q289" s="16">
        <v>9</v>
      </c>
      <c r="R289" s="16">
        <v>-16</v>
      </c>
      <c r="S289" s="16">
        <v>-70</v>
      </c>
      <c r="T289" s="16">
        <v>-5</v>
      </c>
      <c r="U289" s="16">
        <v>-19</v>
      </c>
      <c r="V289" s="16">
        <v>-584</v>
      </c>
      <c r="W289" s="16">
        <v>-10014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-2145</v>
      </c>
      <c r="AE289" s="16">
        <v>-2129</v>
      </c>
      <c r="AF289" s="16">
        <v>-14306</v>
      </c>
      <c r="AG289" s="16">
        <v>-1201</v>
      </c>
      <c r="AH289" s="16">
        <v>-108</v>
      </c>
      <c r="AI289" s="16">
        <v>-136</v>
      </c>
      <c r="AJ289" s="16">
        <v>0</v>
      </c>
      <c r="AK289" s="16">
        <v>-426</v>
      </c>
      <c r="AL289" s="16">
        <v>0</v>
      </c>
      <c r="AM289" s="16">
        <v>0</v>
      </c>
      <c r="AN289" s="16">
        <v>0</v>
      </c>
      <c r="AO289" s="16">
        <v>-1871</v>
      </c>
      <c r="AP289" s="16">
        <v>-12435</v>
      </c>
      <c r="AQ289" s="5" t="s">
        <v>159</v>
      </c>
    </row>
    <row r="290" spans="1:43" x14ac:dyDescent="0.3">
      <c r="A290" s="9" t="s">
        <v>603</v>
      </c>
      <c r="B290" s="11" t="s">
        <v>602</v>
      </c>
      <c r="C290" s="16">
        <v>0</v>
      </c>
      <c r="D290" s="16">
        <v>0</v>
      </c>
      <c r="E290" s="16">
        <v>0</v>
      </c>
      <c r="F290" s="16">
        <v>0</v>
      </c>
      <c r="G290" s="16">
        <v>0</v>
      </c>
      <c r="H290" s="16">
        <v>1000</v>
      </c>
      <c r="I290" s="16">
        <v>692</v>
      </c>
      <c r="J290" s="16">
        <v>1546</v>
      </c>
      <c r="K290" s="16">
        <v>0</v>
      </c>
      <c r="L290" s="16">
        <v>12</v>
      </c>
      <c r="M290" s="16">
        <v>0</v>
      </c>
      <c r="N290" s="16">
        <v>500</v>
      </c>
      <c r="O290" s="16">
        <v>245</v>
      </c>
      <c r="P290" s="16">
        <v>0</v>
      </c>
      <c r="Q290" s="16">
        <v>17.5</v>
      </c>
      <c r="R290" s="16">
        <v>0</v>
      </c>
      <c r="S290" s="16">
        <v>0</v>
      </c>
      <c r="T290" s="16">
        <v>0</v>
      </c>
      <c r="U290" s="16">
        <v>0</v>
      </c>
      <c r="V290" s="16">
        <v>245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3738</v>
      </c>
      <c r="AE290" s="16">
        <v>3738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  <c r="AL290" s="16">
        <v>0</v>
      </c>
      <c r="AM290" s="16">
        <v>-1602</v>
      </c>
      <c r="AN290" s="16">
        <v>0</v>
      </c>
      <c r="AO290" s="16">
        <v>-1602</v>
      </c>
      <c r="AP290" s="16">
        <v>1602</v>
      </c>
      <c r="AQ290" s="5" t="s">
        <v>159</v>
      </c>
    </row>
    <row r="291" spans="1:43" x14ac:dyDescent="0.3">
      <c r="A291" s="9" t="s">
        <v>605</v>
      </c>
      <c r="B291" s="11" t="s">
        <v>604</v>
      </c>
      <c r="C291" s="16">
        <v>2210</v>
      </c>
      <c r="D291" s="16">
        <v>1206</v>
      </c>
      <c r="E291" s="16">
        <v>201</v>
      </c>
      <c r="F291" s="16">
        <v>281</v>
      </c>
      <c r="G291" s="16">
        <v>121</v>
      </c>
      <c r="H291" s="16">
        <v>0</v>
      </c>
      <c r="I291" s="16">
        <v>0</v>
      </c>
      <c r="J291" s="16">
        <v>4761</v>
      </c>
      <c r="K291" s="16">
        <v>0</v>
      </c>
      <c r="L291" s="16">
        <v>32</v>
      </c>
      <c r="M291" s="16">
        <v>0</v>
      </c>
      <c r="N291" s="16">
        <v>0</v>
      </c>
      <c r="O291" s="16">
        <v>572</v>
      </c>
      <c r="P291" s="16">
        <v>0</v>
      </c>
      <c r="Q291" s="16">
        <v>20.5</v>
      </c>
      <c r="R291" s="16">
        <v>0</v>
      </c>
      <c r="S291" s="16">
        <v>0</v>
      </c>
      <c r="T291" s="16">
        <v>0</v>
      </c>
      <c r="U291" s="16">
        <v>0</v>
      </c>
      <c r="V291" s="16">
        <v>572</v>
      </c>
      <c r="W291" s="16">
        <v>2813.57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1068</v>
      </c>
      <c r="AD291" s="16">
        <v>4761</v>
      </c>
      <c r="AE291" s="16">
        <v>4761</v>
      </c>
      <c r="AF291" s="16">
        <v>5087</v>
      </c>
      <c r="AG291" s="16">
        <v>337</v>
      </c>
      <c r="AH291" s="16">
        <v>0</v>
      </c>
      <c r="AI291" s="16">
        <v>0</v>
      </c>
      <c r="AJ291" s="16">
        <v>0</v>
      </c>
      <c r="AK291" s="16">
        <v>86</v>
      </c>
      <c r="AL291" s="16">
        <v>0</v>
      </c>
      <c r="AM291" s="16">
        <v>-3204</v>
      </c>
      <c r="AN291" s="16">
        <v>0</v>
      </c>
      <c r="AO291" s="16">
        <v>-2781</v>
      </c>
      <c r="AP291" s="16">
        <v>7868</v>
      </c>
      <c r="AQ291" s="5" t="s">
        <v>159</v>
      </c>
    </row>
    <row r="292" spans="1:43" x14ac:dyDescent="0.3">
      <c r="A292" s="9" t="s">
        <v>607</v>
      </c>
      <c r="B292" s="11" t="s">
        <v>606</v>
      </c>
      <c r="C292" s="16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-247</v>
      </c>
      <c r="P292" s="16">
        <v>0</v>
      </c>
      <c r="Q292" s="16">
        <v>-10</v>
      </c>
      <c r="R292" s="16">
        <v>0</v>
      </c>
      <c r="S292" s="16">
        <v>0</v>
      </c>
      <c r="T292" s="16">
        <v>0</v>
      </c>
      <c r="U292" s="16">
        <v>0</v>
      </c>
      <c r="V292" s="16">
        <v>-247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-1602</v>
      </c>
      <c r="AN292" s="16">
        <v>0</v>
      </c>
      <c r="AO292" s="16">
        <v>-1602</v>
      </c>
      <c r="AP292" s="16">
        <v>1602</v>
      </c>
      <c r="AQ292" s="5" t="s">
        <v>159</v>
      </c>
    </row>
    <row r="293" spans="1:43" x14ac:dyDescent="0.3">
      <c r="A293" s="9" t="s">
        <v>609</v>
      </c>
      <c r="B293" s="11" t="s">
        <v>608</v>
      </c>
      <c r="C293" s="16">
        <v>-381</v>
      </c>
      <c r="D293" s="16">
        <v>-208</v>
      </c>
      <c r="E293" s="16">
        <v>-35</v>
      </c>
      <c r="F293" s="16">
        <v>-49</v>
      </c>
      <c r="G293" s="16">
        <v>-21</v>
      </c>
      <c r="H293" s="16">
        <v>0</v>
      </c>
      <c r="I293" s="16">
        <v>38.92</v>
      </c>
      <c r="J293" s="16">
        <v>-907</v>
      </c>
      <c r="K293" s="16">
        <v>0</v>
      </c>
      <c r="L293" s="16">
        <v>-8</v>
      </c>
      <c r="M293" s="16">
        <v>0</v>
      </c>
      <c r="N293" s="16">
        <v>0</v>
      </c>
      <c r="O293" s="16">
        <v>-198</v>
      </c>
      <c r="P293" s="16">
        <v>0</v>
      </c>
      <c r="Q293" s="16">
        <v>-16</v>
      </c>
      <c r="R293" s="16">
        <v>0</v>
      </c>
      <c r="S293" s="16">
        <v>0</v>
      </c>
      <c r="T293" s="16">
        <v>0</v>
      </c>
      <c r="U293" s="16">
        <v>0</v>
      </c>
      <c r="V293" s="16">
        <v>-198</v>
      </c>
      <c r="W293" s="16">
        <v>-469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-5</v>
      </c>
      <c r="AD293" s="16">
        <v>-868</v>
      </c>
      <c r="AE293" s="16">
        <v>-868</v>
      </c>
      <c r="AF293" s="16">
        <v>-699</v>
      </c>
      <c r="AG293" s="16">
        <v>-56</v>
      </c>
      <c r="AH293" s="16">
        <v>0</v>
      </c>
      <c r="AI293" s="16">
        <v>0</v>
      </c>
      <c r="AJ293" s="16">
        <v>0</v>
      </c>
      <c r="AK293" s="16">
        <v>-19</v>
      </c>
      <c r="AL293" s="16">
        <v>0</v>
      </c>
      <c r="AM293" s="16">
        <v>-3204</v>
      </c>
      <c r="AN293" s="16">
        <v>0</v>
      </c>
      <c r="AO293" s="16">
        <v>-3279</v>
      </c>
      <c r="AP293" s="16">
        <v>2580</v>
      </c>
      <c r="AQ293" s="5" t="s">
        <v>159</v>
      </c>
    </row>
    <row r="294" spans="1:43" x14ac:dyDescent="0.3">
      <c r="A294" s="9" t="s">
        <v>611</v>
      </c>
      <c r="B294" s="11" t="s">
        <v>610</v>
      </c>
      <c r="C294" s="16">
        <v>1122</v>
      </c>
      <c r="D294" s="16">
        <v>612</v>
      </c>
      <c r="E294" s="16">
        <v>102</v>
      </c>
      <c r="F294" s="16">
        <v>143</v>
      </c>
      <c r="G294" s="16">
        <v>61</v>
      </c>
      <c r="H294" s="16">
        <v>0</v>
      </c>
      <c r="I294" s="16">
        <v>-230.54</v>
      </c>
      <c r="J294" s="16">
        <v>2114</v>
      </c>
      <c r="K294" s="16">
        <v>0</v>
      </c>
      <c r="L294" s="16">
        <v>21</v>
      </c>
      <c r="M294" s="16">
        <v>0</v>
      </c>
      <c r="N294" s="16">
        <v>0</v>
      </c>
      <c r="O294" s="16">
        <v>-76</v>
      </c>
      <c r="P294" s="16">
        <v>0</v>
      </c>
      <c r="Q294" s="16">
        <v>-15</v>
      </c>
      <c r="R294" s="16">
        <v>0</v>
      </c>
      <c r="S294" s="16">
        <v>0</v>
      </c>
      <c r="T294" s="16">
        <v>0</v>
      </c>
      <c r="U294" s="16">
        <v>0</v>
      </c>
      <c r="V294" s="16">
        <v>-76</v>
      </c>
      <c r="W294" s="16">
        <v>1428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603</v>
      </c>
      <c r="AD294" s="16">
        <v>1883</v>
      </c>
      <c r="AE294" s="16">
        <v>1883</v>
      </c>
      <c r="AF294" s="16">
        <v>2643</v>
      </c>
      <c r="AG294" s="16">
        <v>171</v>
      </c>
      <c r="AH294" s="16">
        <v>0</v>
      </c>
      <c r="AI294" s="16">
        <v>0</v>
      </c>
      <c r="AJ294" s="16">
        <v>0</v>
      </c>
      <c r="AK294" s="16">
        <v>64</v>
      </c>
      <c r="AL294" s="16">
        <v>0</v>
      </c>
      <c r="AM294" s="16">
        <v>-801</v>
      </c>
      <c r="AN294" s="16">
        <v>0</v>
      </c>
      <c r="AO294" s="16">
        <v>-566</v>
      </c>
      <c r="AP294" s="16">
        <v>3209</v>
      </c>
      <c r="AQ294" s="5" t="s">
        <v>159</v>
      </c>
    </row>
    <row r="295" spans="1:43" x14ac:dyDescent="0.3">
      <c r="A295" s="9" t="s">
        <v>613</v>
      </c>
      <c r="B295" s="11" t="s">
        <v>612</v>
      </c>
      <c r="C295" s="16">
        <v>3090</v>
      </c>
      <c r="D295" s="16">
        <v>1685</v>
      </c>
      <c r="E295" s="16">
        <v>281</v>
      </c>
      <c r="F295" s="16">
        <v>393</v>
      </c>
      <c r="G295" s="16">
        <v>169</v>
      </c>
      <c r="H295" s="16">
        <v>0</v>
      </c>
      <c r="I295" s="16">
        <v>0</v>
      </c>
      <c r="J295" s="16">
        <v>3073</v>
      </c>
      <c r="K295" s="16">
        <v>5618</v>
      </c>
      <c r="L295" s="16">
        <v>28</v>
      </c>
      <c r="M295" s="16">
        <v>0</v>
      </c>
      <c r="N295" s="16">
        <v>0</v>
      </c>
      <c r="O295" s="16">
        <v>9</v>
      </c>
      <c r="P295" s="16">
        <v>0</v>
      </c>
      <c r="Q295" s="16">
        <v>-32.5</v>
      </c>
      <c r="R295" s="16">
        <v>23</v>
      </c>
      <c r="S295" s="16">
        <v>100</v>
      </c>
      <c r="T295" s="16">
        <v>0</v>
      </c>
      <c r="U295" s="16">
        <v>0</v>
      </c>
      <c r="V295" s="16">
        <v>9</v>
      </c>
      <c r="W295" s="16">
        <v>3933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3073</v>
      </c>
      <c r="AE295" s="16">
        <v>3050</v>
      </c>
      <c r="AF295" s="16">
        <v>5618</v>
      </c>
      <c r="AG295" s="16">
        <v>472</v>
      </c>
      <c r="AH295" s="16">
        <v>42</v>
      </c>
      <c r="AI295" s="16">
        <v>37</v>
      </c>
      <c r="AJ295" s="16">
        <v>0</v>
      </c>
      <c r="AK295" s="16">
        <v>163</v>
      </c>
      <c r="AL295" s="16">
        <v>0</v>
      </c>
      <c r="AM295" s="16">
        <v>0</v>
      </c>
      <c r="AN295" s="16">
        <v>0</v>
      </c>
      <c r="AO295" s="16">
        <v>714</v>
      </c>
      <c r="AP295" s="16">
        <v>4904</v>
      </c>
      <c r="AQ295" s="5" t="s">
        <v>159</v>
      </c>
    </row>
    <row r="296" spans="1:43" x14ac:dyDescent="0.3">
      <c r="A296" s="9" t="s">
        <v>615</v>
      </c>
      <c r="B296" s="11" t="s">
        <v>614</v>
      </c>
      <c r="C296" s="16">
        <v>0</v>
      </c>
      <c r="D296" s="16">
        <v>0</v>
      </c>
      <c r="E296" s="16">
        <v>0</v>
      </c>
      <c r="F296" s="16">
        <v>0</v>
      </c>
      <c r="G296" s="16">
        <v>0</v>
      </c>
      <c r="H296" s="16">
        <v>-1000</v>
      </c>
      <c r="I296" s="16">
        <v>0</v>
      </c>
      <c r="J296" s="16">
        <v>367</v>
      </c>
      <c r="K296" s="16">
        <v>0</v>
      </c>
      <c r="L296" s="16">
        <v>4</v>
      </c>
      <c r="M296" s="16">
        <v>0</v>
      </c>
      <c r="N296" s="16">
        <v>0</v>
      </c>
      <c r="O296" s="16">
        <v>-312</v>
      </c>
      <c r="P296" s="16">
        <v>0</v>
      </c>
      <c r="Q296" s="16">
        <v>-32.5</v>
      </c>
      <c r="R296" s="16">
        <v>-4</v>
      </c>
      <c r="S296" s="16">
        <v>-21</v>
      </c>
      <c r="T296" s="16">
        <v>-2</v>
      </c>
      <c r="U296" s="16">
        <v>-10</v>
      </c>
      <c r="V296" s="16">
        <v>-310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-633</v>
      </c>
      <c r="AE296" s="16">
        <v>-629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100</v>
      </c>
      <c r="AO296" s="16">
        <v>100</v>
      </c>
      <c r="AP296" s="16">
        <v>-100</v>
      </c>
      <c r="AQ296" s="5" t="s">
        <v>159</v>
      </c>
    </row>
    <row r="297" spans="1:43" x14ac:dyDescent="0.3">
      <c r="A297" s="9" t="s">
        <v>617</v>
      </c>
      <c r="B297" s="11" t="s">
        <v>616</v>
      </c>
      <c r="C297" s="16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4519</v>
      </c>
      <c r="K297" s="16">
        <v>0</v>
      </c>
      <c r="L297" s="16">
        <v>24</v>
      </c>
      <c r="M297" s="16">
        <v>0</v>
      </c>
      <c r="N297" s="16">
        <v>0</v>
      </c>
      <c r="O297" s="16">
        <v>236</v>
      </c>
      <c r="P297" s="16">
        <v>0</v>
      </c>
      <c r="Q297" s="16">
        <v>10</v>
      </c>
      <c r="R297" s="16">
        <v>0</v>
      </c>
      <c r="S297" s="16">
        <v>0</v>
      </c>
      <c r="T297" s="16">
        <v>0</v>
      </c>
      <c r="U297" s="16">
        <v>0</v>
      </c>
      <c r="V297" s="16">
        <v>236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4519</v>
      </c>
      <c r="AE297" s="16">
        <v>4519</v>
      </c>
      <c r="AF297" s="16">
        <v>0</v>
      </c>
      <c r="AG297" s="16">
        <v>0</v>
      </c>
      <c r="AH297" s="16">
        <v>0</v>
      </c>
      <c r="AI297" s="16">
        <v>0</v>
      </c>
      <c r="AJ297" s="16">
        <v>0</v>
      </c>
      <c r="AK297" s="16">
        <v>0</v>
      </c>
      <c r="AL297" s="16">
        <v>0</v>
      </c>
      <c r="AM297" s="16">
        <v>-3204</v>
      </c>
      <c r="AN297" s="16">
        <v>0</v>
      </c>
      <c r="AO297" s="16">
        <v>-3204</v>
      </c>
      <c r="AP297" s="16">
        <v>3204</v>
      </c>
      <c r="AQ297" s="5" t="s">
        <v>159</v>
      </c>
    </row>
    <row r="298" spans="1:43" x14ac:dyDescent="0.3">
      <c r="A298" s="9" t="s">
        <v>619</v>
      </c>
      <c r="B298" s="11" t="s">
        <v>618</v>
      </c>
      <c r="C298" s="16">
        <v>0</v>
      </c>
      <c r="D298" s="16">
        <v>0</v>
      </c>
      <c r="E298" s="16">
        <v>0</v>
      </c>
      <c r="F298" s="16">
        <v>0</v>
      </c>
      <c r="G298" s="16">
        <v>0</v>
      </c>
      <c r="H298" s="16">
        <v>1000</v>
      </c>
      <c r="I298" s="16">
        <v>0</v>
      </c>
      <c r="J298" s="16">
        <v>2328</v>
      </c>
      <c r="K298" s="16">
        <v>0</v>
      </c>
      <c r="L298" s="16">
        <v>21</v>
      </c>
      <c r="M298" s="16">
        <v>0</v>
      </c>
      <c r="N298" s="16">
        <v>0</v>
      </c>
      <c r="O298" s="16">
        <v>-438</v>
      </c>
      <c r="P298" s="16">
        <v>0</v>
      </c>
      <c r="Q298" s="16">
        <v>-32.5</v>
      </c>
      <c r="R298" s="16">
        <v>0</v>
      </c>
      <c r="S298" s="16">
        <v>0</v>
      </c>
      <c r="T298" s="16">
        <v>0</v>
      </c>
      <c r="U298" s="16">
        <v>0</v>
      </c>
      <c r="V298" s="16">
        <v>-438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3328</v>
      </c>
      <c r="AE298" s="16">
        <v>3328</v>
      </c>
      <c r="AF298" s="16">
        <v>0</v>
      </c>
      <c r="AG298" s="16">
        <v>0</v>
      </c>
      <c r="AH298" s="16">
        <v>0</v>
      </c>
      <c r="AI298" s="16">
        <v>0</v>
      </c>
      <c r="AJ298" s="16">
        <v>0</v>
      </c>
      <c r="AK298" s="16">
        <v>0</v>
      </c>
      <c r="AL298" s="16">
        <v>0</v>
      </c>
      <c r="AM298" s="16">
        <v>-2403</v>
      </c>
      <c r="AN298" s="16">
        <v>0</v>
      </c>
      <c r="AO298" s="16">
        <v>-2403</v>
      </c>
      <c r="AP298" s="16">
        <v>2403</v>
      </c>
      <c r="AQ298" s="5" t="s">
        <v>159</v>
      </c>
    </row>
    <row r="299" spans="1:43" x14ac:dyDescent="0.3">
      <c r="A299" s="9" t="s">
        <v>621</v>
      </c>
      <c r="B299" s="11" t="s">
        <v>620</v>
      </c>
      <c r="C299" s="16">
        <v>0</v>
      </c>
      <c r="D299" s="16">
        <v>0</v>
      </c>
      <c r="E299" s="16">
        <v>0</v>
      </c>
      <c r="F299" s="16">
        <v>0</v>
      </c>
      <c r="G299" s="16">
        <v>0</v>
      </c>
      <c r="H299" s="16">
        <v>-1000</v>
      </c>
      <c r="I299" s="16">
        <v>269.62</v>
      </c>
      <c r="J299" s="16">
        <v>1354</v>
      </c>
      <c r="K299" s="16">
        <v>0</v>
      </c>
      <c r="L299" s="16">
        <v>16</v>
      </c>
      <c r="M299" s="16">
        <v>0</v>
      </c>
      <c r="N299" s="16">
        <v>0</v>
      </c>
      <c r="O299" s="16">
        <v>40</v>
      </c>
      <c r="P299" s="16">
        <v>0</v>
      </c>
      <c r="Q299" s="16">
        <v>5</v>
      </c>
      <c r="R299" s="16">
        <v>4</v>
      </c>
      <c r="S299" s="16">
        <v>21</v>
      </c>
      <c r="T299" s="16">
        <v>1</v>
      </c>
      <c r="U299" s="16">
        <v>2</v>
      </c>
      <c r="V299" s="16">
        <v>39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>
        <v>624</v>
      </c>
      <c r="AE299" s="16">
        <v>620</v>
      </c>
      <c r="AF299" s="16">
        <v>0</v>
      </c>
      <c r="AG299" s="16">
        <v>0</v>
      </c>
      <c r="AH299" s="16">
        <v>0</v>
      </c>
      <c r="AI299" s="16">
        <v>0</v>
      </c>
      <c r="AJ299" s="16">
        <v>0</v>
      </c>
      <c r="AK299" s="16">
        <v>0</v>
      </c>
      <c r="AL299" s="16">
        <v>0</v>
      </c>
      <c r="AM299" s="16">
        <v>0</v>
      </c>
      <c r="AN299" s="16">
        <v>100</v>
      </c>
      <c r="AO299" s="16">
        <v>100</v>
      </c>
      <c r="AP299" s="16">
        <v>-100</v>
      </c>
      <c r="AQ299" s="5" t="s">
        <v>159</v>
      </c>
    </row>
    <row r="300" spans="1:43" x14ac:dyDescent="0.3">
      <c r="A300" s="9" t="s">
        <v>623</v>
      </c>
      <c r="B300" s="11" t="s">
        <v>622</v>
      </c>
      <c r="C300" s="16">
        <v>398</v>
      </c>
      <c r="D300" s="16">
        <v>216</v>
      </c>
      <c r="E300" s="16">
        <v>36</v>
      </c>
      <c r="F300" s="16">
        <v>50</v>
      </c>
      <c r="G300" s="16">
        <v>22</v>
      </c>
      <c r="H300" s="16">
        <v>1000</v>
      </c>
      <c r="I300" s="16">
        <v>0</v>
      </c>
      <c r="J300" s="16">
        <v>3636</v>
      </c>
      <c r="K300" s="16">
        <v>0</v>
      </c>
      <c r="L300" s="16">
        <v>34</v>
      </c>
      <c r="M300" s="16">
        <v>0</v>
      </c>
      <c r="N300" s="16">
        <v>0</v>
      </c>
      <c r="O300" s="16">
        <v>-369</v>
      </c>
      <c r="P300" s="16">
        <v>0</v>
      </c>
      <c r="Q300" s="16">
        <v>-32.5</v>
      </c>
      <c r="R300" s="16">
        <v>0</v>
      </c>
      <c r="S300" s="16">
        <v>0</v>
      </c>
      <c r="T300" s="16">
        <v>0</v>
      </c>
      <c r="U300" s="16">
        <v>0</v>
      </c>
      <c r="V300" s="16">
        <v>-369</v>
      </c>
      <c r="W300" s="16">
        <v>506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  <c r="AC300" s="16">
        <v>144</v>
      </c>
      <c r="AD300" s="16">
        <v>4636</v>
      </c>
      <c r="AE300" s="16">
        <v>4636</v>
      </c>
      <c r="AF300" s="16">
        <v>866</v>
      </c>
      <c r="AG300" s="16">
        <v>61</v>
      </c>
      <c r="AH300" s="16">
        <v>0</v>
      </c>
      <c r="AI300" s="16">
        <v>0</v>
      </c>
      <c r="AJ300" s="16">
        <v>0</v>
      </c>
      <c r="AK300" s="16">
        <v>21</v>
      </c>
      <c r="AL300" s="16">
        <v>0</v>
      </c>
      <c r="AM300" s="16">
        <v>-801</v>
      </c>
      <c r="AN300" s="16">
        <v>0</v>
      </c>
      <c r="AO300" s="16">
        <v>-719</v>
      </c>
      <c r="AP300" s="16">
        <v>1585</v>
      </c>
      <c r="AQ300" s="5" t="s">
        <v>159</v>
      </c>
    </row>
    <row r="301" spans="1:43" x14ac:dyDescent="0.3">
      <c r="A301" s="9" t="s">
        <v>625</v>
      </c>
      <c r="B301" s="11" t="s">
        <v>624</v>
      </c>
      <c r="C301" s="16">
        <v>234</v>
      </c>
      <c r="D301" s="16">
        <v>128</v>
      </c>
      <c r="E301" s="16">
        <v>21</v>
      </c>
      <c r="F301" s="16">
        <v>30</v>
      </c>
      <c r="G301" s="16">
        <v>12</v>
      </c>
      <c r="H301" s="16">
        <v>1000</v>
      </c>
      <c r="I301" s="16">
        <v>115.23</v>
      </c>
      <c r="J301" s="16">
        <v>2018</v>
      </c>
      <c r="K301" s="16">
        <v>0</v>
      </c>
      <c r="L301" s="16">
        <v>16</v>
      </c>
      <c r="M301" s="16">
        <v>0</v>
      </c>
      <c r="N301" s="16">
        <v>0</v>
      </c>
      <c r="O301" s="16">
        <v>164</v>
      </c>
      <c r="P301" s="16">
        <v>0</v>
      </c>
      <c r="Q301" s="16">
        <v>9</v>
      </c>
      <c r="R301" s="16">
        <v>0</v>
      </c>
      <c r="S301" s="16">
        <v>0</v>
      </c>
      <c r="T301" s="16">
        <v>0</v>
      </c>
      <c r="U301" s="16">
        <v>0</v>
      </c>
      <c r="V301" s="16">
        <v>164</v>
      </c>
      <c r="W301" s="16">
        <v>298.08999999999997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104</v>
      </c>
      <c r="AD301" s="16">
        <v>3133</v>
      </c>
      <c r="AE301" s="16">
        <v>3133</v>
      </c>
      <c r="AF301" s="16">
        <v>529</v>
      </c>
      <c r="AG301" s="16">
        <v>36</v>
      </c>
      <c r="AH301" s="16">
        <v>0</v>
      </c>
      <c r="AI301" s="16">
        <v>0</v>
      </c>
      <c r="AJ301" s="16">
        <v>0</v>
      </c>
      <c r="AK301" s="16">
        <v>11</v>
      </c>
      <c r="AL301" s="16">
        <v>0</v>
      </c>
      <c r="AM301" s="16">
        <v>-1602</v>
      </c>
      <c r="AN301" s="16">
        <v>0</v>
      </c>
      <c r="AO301" s="16">
        <v>-1555</v>
      </c>
      <c r="AP301" s="16">
        <v>2084</v>
      </c>
      <c r="AQ301" s="5" t="s">
        <v>159</v>
      </c>
    </row>
    <row r="302" spans="1:43" x14ac:dyDescent="0.3">
      <c r="A302" s="9" t="s">
        <v>627</v>
      </c>
      <c r="B302" s="11" t="s">
        <v>626</v>
      </c>
      <c r="C302" s="16">
        <v>0</v>
      </c>
      <c r="D302" s="16">
        <v>0</v>
      </c>
      <c r="E302" s="16">
        <v>0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-63</v>
      </c>
      <c r="P302" s="16">
        <v>0</v>
      </c>
      <c r="Q302" s="16">
        <v>-5</v>
      </c>
      <c r="R302" s="16">
        <v>0</v>
      </c>
      <c r="S302" s="16">
        <v>0</v>
      </c>
      <c r="T302" s="16">
        <v>0</v>
      </c>
      <c r="U302" s="16">
        <v>0</v>
      </c>
      <c r="V302" s="16">
        <v>-63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0</v>
      </c>
      <c r="AJ302" s="16">
        <v>0</v>
      </c>
      <c r="AK302" s="16">
        <v>0</v>
      </c>
      <c r="AL302" s="16">
        <v>0</v>
      </c>
      <c r="AM302" s="16">
        <v>-2403</v>
      </c>
      <c r="AN302" s="16">
        <v>0</v>
      </c>
      <c r="AO302" s="16">
        <v>-2403</v>
      </c>
      <c r="AP302" s="16">
        <v>2403</v>
      </c>
      <c r="AQ302" s="5" t="s">
        <v>159</v>
      </c>
    </row>
    <row r="303" spans="1:43" x14ac:dyDescent="0.3">
      <c r="A303" s="9" t="s">
        <v>629</v>
      </c>
      <c r="B303" s="11" t="s">
        <v>628</v>
      </c>
      <c r="C303" s="16">
        <v>0</v>
      </c>
      <c r="D303" s="16">
        <v>0</v>
      </c>
      <c r="E303" s="16">
        <v>0</v>
      </c>
      <c r="F303" s="16">
        <v>0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0</v>
      </c>
      <c r="O303" s="16">
        <v>-180</v>
      </c>
      <c r="P303" s="16">
        <v>0</v>
      </c>
      <c r="Q303" s="16">
        <v>-11</v>
      </c>
      <c r="R303" s="16">
        <v>0</v>
      </c>
      <c r="S303" s="16">
        <v>0</v>
      </c>
      <c r="T303" s="16">
        <v>0</v>
      </c>
      <c r="U303" s="16">
        <v>0</v>
      </c>
      <c r="V303" s="16">
        <v>-180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  <c r="AG303" s="16">
        <v>0</v>
      </c>
      <c r="AH303" s="16">
        <v>0</v>
      </c>
      <c r="AI303" s="16">
        <v>0</v>
      </c>
      <c r="AJ303" s="16">
        <v>0</v>
      </c>
      <c r="AK303" s="16">
        <v>0</v>
      </c>
      <c r="AL303" s="16">
        <v>0</v>
      </c>
      <c r="AM303" s="16">
        <v>-2403</v>
      </c>
      <c r="AN303" s="16">
        <v>0</v>
      </c>
      <c r="AO303" s="16">
        <v>-2403</v>
      </c>
      <c r="AP303" s="16">
        <v>2403</v>
      </c>
      <c r="AQ303" s="5" t="s">
        <v>159</v>
      </c>
    </row>
    <row r="304" spans="1:43" x14ac:dyDescent="0.3">
      <c r="A304" s="9" t="s">
        <v>631</v>
      </c>
      <c r="B304" s="11" t="s">
        <v>630</v>
      </c>
      <c r="C304" s="16">
        <v>0</v>
      </c>
      <c r="D304" s="16">
        <v>0</v>
      </c>
      <c r="E304" s="16">
        <v>0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256</v>
      </c>
      <c r="P304" s="16">
        <v>0</v>
      </c>
      <c r="Q304" s="16">
        <v>17</v>
      </c>
      <c r="R304" s="16">
        <v>0</v>
      </c>
      <c r="S304" s="16">
        <v>0</v>
      </c>
      <c r="T304" s="16">
        <v>0</v>
      </c>
      <c r="U304" s="16">
        <v>0</v>
      </c>
      <c r="V304" s="16">
        <v>256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  <c r="AG304" s="16">
        <v>0</v>
      </c>
      <c r="AH304" s="16">
        <v>0</v>
      </c>
      <c r="AI304" s="16">
        <v>0</v>
      </c>
      <c r="AJ304" s="16">
        <v>0</v>
      </c>
      <c r="AK304" s="16">
        <v>0</v>
      </c>
      <c r="AL304" s="16">
        <v>0</v>
      </c>
      <c r="AM304" s="16">
        <v>-1602</v>
      </c>
      <c r="AN304" s="16">
        <v>0</v>
      </c>
      <c r="AO304" s="16">
        <v>-1602</v>
      </c>
      <c r="AP304" s="16">
        <v>1602</v>
      </c>
      <c r="AQ304" s="5" t="s">
        <v>159</v>
      </c>
    </row>
    <row r="305" spans="1:43" x14ac:dyDescent="0.3">
      <c r="A305" s="9" t="s">
        <v>633</v>
      </c>
      <c r="B305" s="11" t="s">
        <v>632</v>
      </c>
      <c r="C305" s="16">
        <v>0</v>
      </c>
      <c r="D305" s="16">
        <v>0</v>
      </c>
      <c r="E305" s="16">
        <v>0</v>
      </c>
      <c r="F305" s="16">
        <v>0</v>
      </c>
      <c r="G305" s="16">
        <v>0</v>
      </c>
      <c r="H305" s="16">
        <v>0</v>
      </c>
      <c r="I305" s="16">
        <v>0</v>
      </c>
      <c r="J305" s="16">
        <v>-398</v>
      </c>
      <c r="K305" s="16">
        <v>0</v>
      </c>
      <c r="L305" s="16">
        <v>-3</v>
      </c>
      <c r="M305" s="16">
        <v>0</v>
      </c>
      <c r="N305" s="16">
        <v>0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0</v>
      </c>
      <c r="U305" s="16">
        <v>0</v>
      </c>
      <c r="V305" s="16">
        <v>0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  <c r="AC305" s="16">
        <v>0</v>
      </c>
      <c r="AD305" s="16">
        <v>-398</v>
      </c>
      <c r="AE305" s="16">
        <v>-398</v>
      </c>
      <c r="AF305" s="16">
        <v>0</v>
      </c>
      <c r="AG305" s="16">
        <v>0</v>
      </c>
      <c r="AH305" s="16">
        <v>0</v>
      </c>
      <c r="AI305" s="16">
        <v>0</v>
      </c>
      <c r="AJ305" s="16">
        <v>0</v>
      </c>
      <c r="AK305" s="16">
        <v>0</v>
      </c>
      <c r="AL305" s="16">
        <v>0</v>
      </c>
      <c r="AM305" s="16">
        <v>-2403</v>
      </c>
      <c r="AN305" s="16">
        <v>100</v>
      </c>
      <c r="AO305" s="16">
        <v>-2303</v>
      </c>
      <c r="AP305" s="16">
        <v>2303</v>
      </c>
      <c r="AQ305" s="5" t="s">
        <v>159</v>
      </c>
    </row>
    <row r="306" spans="1:43" x14ac:dyDescent="0.3">
      <c r="A306" s="9" t="s">
        <v>634</v>
      </c>
      <c r="B306" s="11" t="s">
        <v>632</v>
      </c>
      <c r="C306" s="16">
        <v>0</v>
      </c>
      <c r="D306" s="16">
        <v>0</v>
      </c>
      <c r="E306" s="16">
        <v>0</v>
      </c>
      <c r="F306" s="16">
        <v>0</v>
      </c>
      <c r="G306" s="16">
        <v>0</v>
      </c>
      <c r="H306" s="16">
        <v>0</v>
      </c>
      <c r="I306" s="16">
        <v>-269.69</v>
      </c>
      <c r="J306" s="16">
        <v>5805</v>
      </c>
      <c r="K306" s="16">
        <v>0</v>
      </c>
      <c r="L306" s="16">
        <v>48</v>
      </c>
      <c r="M306" s="16">
        <v>0</v>
      </c>
      <c r="N306" s="16">
        <v>1500</v>
      </c>
      <c r="O306" s="16">
        <v>140</v>
      </c>
      <c r="P306" s="16">
        <v>500</v>
      </c>
      <c r="Q306" s="16">
        <v>9</v>
      </c>
      <c r="R306" s="16">
        <v>0</v>
      </c>
      <c r="S306" s="16">
        <v>0</v>
      </c>
      <c r="T306" s="16">
        <v>0</v>
      </c>
      <c r="U306" s="16">
        <v>0</v>
      </c>
      <c r="V306" s="16">
        <v>140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7535</v>
      </c>
      <c r="AE306" s="16">
        <v>7535</v>
      </c>
      <c r="AF306" s="16">
        <v>0</v>
      </c>
      <c r="AG306" s="16">
        <v>0</v>
      </c>
      <c r="AH306" s="16">
        <v>0</v>
      </c>
      <c r="AI306" s="16">
        <v>0</v>
      </c>
      <c r="AJ306" s="16">
        <v>0</v>
      </c>
      <c r="AK306" s="16">
        <v>0</v>
      </c>
      <c r="AL306" s="16">
        <v>0</v>
      </c>
      <c r="AM306" s="16">
        <v>-2403</v>
      </c>
      <c r="AN306" s="16">
        <v>0</v>
      </c>
      <c r="AO306" s="16">
        <v>-2403</v>
      </c>
      <c r="AP306" s="16">
        <v>2403</v>
      </c>
      <c r="AQ306" s="5" t="s">
        <v>159</v>
      </c>
    </row>
    <row r="307" spans="1:43" x14ac:dyDescent="0.3">
      <c r="A307" s="9" t="s">
        <v>636</v>
      </c>
      <c r="B307" s="11" t="s">
        <v>635</v>
      </c>
      <c r="C307" s="16">
        <v>-929</v>
      </c>
      <c r="D307" s="16">
        <v>-507</v>
      </c>
      <c r="E307" s="16">
        <v>-85</v>
      </c>
      <c r="F307" s="16">
        <v>-119</v>
      </c>
      <c r="G307" s="16">
        <v>-51</v>
      </c>
      <c r="H307" s="16">
        <v>0</v>
      </c>
      <c r="I307" s="16">
        <v>0</v>
      </c>
      <c r="J307" s="16">
        <v>0</v>
      </c>
      <c r="K307" s="16">
        <v>-1691</v>
      </c>
      <c r="L307" s="16">
        <v>0</v>
      </c>
      <c r="M307" s="16">
        <v>0</v>
      </c>
      <c r="N307" s="16">
        <v>0</v>
      </c>
      <c r="O307" s="16">
        <v>70</v>
      </c>
      <c r="P307" s="16">
        <v>0</v>
      </c>
      <c r="Q307" s="16">
        <v>17.5</v>
      </c>
      <c r="R307" s="16">
        <v>0</v>
      </c>
      <c r="S307" s="16">
        <v>0</v>
      </c>
      <c r="T307" s="16">
        <v>1</v>
      </c>
      <c r="U307" s="16">
        <v>2</v>
      </c>
      <c r="V307" s="16">
        <v>69</v>
      </c>
      <c r="W307" s="16">
        <v>-1184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0</v>
      </c>
      <c r="AF307" s="16">
        <v>-1691</v>
      </c>
      <c r="AG307" s="16">
        <v>-142</v>
      </c>
      <c r="AH307" s="16">
        <v>-12</v>
      </c>
      <c r="AI307" s="16">
        <v>0</v>
      </c>
      <c r="AJ307" s="16">
        <v>0</v>
      </c>
      <c r="AK307" s="16">
        <v>-58</v>
      </c>
      <c r="AL307" s="16">
        <v>0</v>
      </c>
      <c r="AM307" s="16">
        <v>0</v>
      </c>
      <c r="AN307" s="16">
        <v>0</v>
      </c>
      <c r="AO307" s="16">
        <v>-212</v>
      </c>
      <c r="AP307" s="16">
        <v>-1479</v>
      </c>
      <c r="AQ307" s="5" t="s">
        <v>159</v>
      </c>
    </row>
    <row r="308" spans="1:43" x14ac:dyDescent="0.3">
      <c r="A308" s="9" t="s">
        <v>638</v>
      </c>
      <c r="B308" s="11" t="s">
        <v>637</v>
      </c>
      <c r="C308" s="16">
        <v>0</v>
      </c>
      <c r="D308" s="16">
        <v>0</v>
      </c>
      <c r="E308" s="16">
        <v>0</v>
      </c>
      <c r="F308" s="16">
        <v>0</v>
      </c>
      <c r="G308" s="16">
        <v>0</v>
      </c>
      <c r="H308" s="16">
        <v>0</v>
      </c>
      <c r="I308" s="16">
        <v>0</v>
      </c>
      <c r="J308" s="16">
        <v>-113</v>
      </c>
      <c r="K308" s="16">
        <v>0</v>
      </c>
      <c r="L308" s="16">
        <v>-1</v>
      </c>
      <c r="M308" s="16">
        <v>0</v>
      </c>
      <c r="N308" s="16">
        <v>0</v>
      </c>
      <c r="O308" s="16">
        <v>128</v>
      </c>
      <c r="P308" s="16">
        <v>0</v>
      </c>
      <c r="Q308" s="16">
        <v>10</v>
      </c>
      <c r="R308" s="16">
        <v>0</v>
      </c>
      <c r="S308" s="16">
        <v>0</v>
      </c>
      <c r="T308" s="16">
        <v>0</v>
      </c>
      <c r="U308" s="16">
        <v>0</v>
      </c>
      <c r="V308" s="16">
        <v>128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-113</v>
      </c>
      <c r="AE308" s="16">
        <v>-113</v>
      </c>
      <c r="AF308" s="16">
        <v>0</v>
      </c>
      <c r="AG308" s="16">
        <v>0</v>
      </c>
      <c r="AH308" s="16">
        <v>0</v>
      </c>
      <c r="AI308" s="16">
        <v>0</v>
      </c>
      <c r="AJ308" s="16">
        <v>0</v>
      </c>
      <c r="AK308" s="16">
        <v>0</v>
      </c>
      <c r="AL308" s="16">
        <v>0</v>
      </c>
      <c r="AM308" s="16">
        <v>-2403</v>
      </c>
      <c r="AN308" s="16">
        <v>0</v>
      </c>
      <c r="AO308" s="16">
        <v>-2403</v>
      </c>
      <c r="AP308" s="16">
        <v>2403</v>
      </c>
      <c r="AQ308" s="5" t="s">
        <v>159</v>
      </c>
    </row>
    <row r="309" spans="1:43" x14ac:dyDescent="0.3">
      <c r="A309" s="9" t="s">
        <v>640</v>
      </c>
      <c r="B309" s="11" t="s">
        <v>639</v>
      </c>
      <c r="C309" s="16">
        <v>-1205</v>
      </c>
      <c r="D309" s="16">
        <v>-657</v>
      </c>
      <c r="E309" s="16">
        <v>-109</v>
      </c>
      <c r="F309" s="16">
        <v>-154</v>
      </c>
      <c r="G309" s="16">
        <v>-66</v>
      </c>
      <c r="H309" s="16">
        <v>0</v>
      </c>
      <c r="I309" s="16">
        <v>0</v>
      </c>
      <c r="J309" s="16">
        <v>0</v>
      </c>
      <c r="K309" s="16">
        <v>-2191</v>
      </c>
      <c r="L309" s="16">
        <v>0</v>
      </c>
      <c r="M309" s="16">
        <v>0</v>
      </c>
      <c r="N309" s="16">
        <v>0</v>
      </c>
      <c r="O309" s="16">
        <v>-243</v>
      </c>
      <c r="P309" s="16">
        <v>0</v>
      </c>
      <c r="Q309" s="16">
        <v>-21</v>
      </c>
      <c r="R309" s="16">
        <v>0</v>
      </c>
      <c r="S309" s="16">
        <v>0</v>
      </c>
      <c r="T309" s="16">
        <v>-2</v>
      </c>
      <c r="U309" s="16">
        <v>-8</v>
      </c>
      <c r="V309" s="16">
        <v>-241</v>
      </c>
      <c r="W309" s="16">
        <v>-1534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0</v>
      </c>
      <c r="AF309" s="16">
        <v>-2191</v>
      </c>
      <c r="AG309" s="16">
        <v>-184</v>
      </c>
      <c r="AH309" s="16">
        <v>-17</v>
      </c>
      <c r="AI309" s="16">
        <v>0</v>
      </c>
      <c r="AJ309" s="16">
        <v>0</v>
      </c>
      <c r="AK309" s="16">
        <v>0</v>
      </c>
      <c r="AL309" s="16">
        <v>0</v>
      </c>
      <c r="AM309" s="16">
        <v>0</v>
      </c>
      <c r="AN309" s="16">
        <v>0</v>
      </c>
      <c r="AO309" s="16">
        <v>-201</v>
      </c>
      <c r="AP309" s="16">
        <v>-1990</v>
      </c>
      <c r="AQ309" s="5" t="s">
        <v>159</v>
      </c>
    </row>
    <row r="310" spans="1:43" x14ac:dyDescent="0.3">
      <c r="A310" s="9" t="s">
        <v>642</v>
      </c>
      <c r="B310" s="11" t="s">
        <v>641</v>
      </c>
      <c r="C310" s="16">
        <v>0</v>
      </c>
      <c r="D310" s="16">
        <v>0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-1835</v>
      </c>
      <c r="K310" s="16">
        <v>0</v>
      </c>
      <c r="L310" s="16">
        <v>-16</v>
      </c>
      <c r="M310" s="16">
        <v>0</v>
      </c>
      <c r="N310" s="16">
        <v>0</v>
      </c>
      <c r="O310" s="16">
        <v>80</v>
      </c>
      <c r="P310" s="16">
        <v>0</v>
      </c>
      <c r="Q310" s="16">
        <v>5</v>
      </c>
      <c r="R310" s="16">
        <v>0</v>
      </c>
      <c r="S310" s="16">
        <v>0</v>
      </c>
      <c r="T310" s="16">
        <v>0</v>
      </c>
      <c r="U310" s="16">
        <v>0</v>
      </c>
      <c r="V310" s="16">
        <v>80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-1835</v>
      </c>
      <c r="AE310" s="16">
        <v>-1835</v>
      </c>
      <c r="AF310" s="16">
        <v>0</v>
      </c>
      <c r="AG310" s="16">
        <v>0</v>
      </c>
      <c r="AH310" s="16">
        <v>0</v>
      </c>
      <c r="AI310" s="16">
        <v>0</v>
      </c>
      <c r="AJ310" s="16">
        <v>0</v>
      </c>
      <c r="AK310" s="16">
        <v>0</v>
      </c>
      <c r="AL310" s="16">
        <v>0</v>
      </c>
      <c r="AM310" s="16">
        <v>-2403</v>
      </c>
      <c r="AN310" s="16">
        <v>0</v>
      </c>
      <c r="AO310" s="16">
        <v>-2403</v>
      </c>
      <c r="AP310" s="16">
        <v>2403</v>
      </c>
      <c r="AQ310" s="5" t="s">
        <v>159</v>
      </c>
    </row>
    <row r="311" spans="1:43" x14ac:dyDescent="0.3">
      <c r="A311" s="9" t="s">
        <v>644</v>
      </c>
      <c r="B311" s="11" t="s">
        <v>643</v>
      </c>
      <c r="C311" s="16">
        <v>-5056</v>
      </c>
      <c r="D311" s="16">
        <v>-2758</v>
      </c>
      <c r="E311" s="16">
        <v>-460</v>
      </c>
      <c r="F311" s="16">
        <v>-644</v>
      </c>
      <c r="G311" s="16">
        <v>-276</v>
      </c>
      <c r="H311" s="16">
        <v>0</v>
      </c>
      <c r="I311" s="16">
        <v>0</v>
      </c>
      <c r="J311" s="16">
        <v>0</v>
      </c>
      <c r="K311" s="16">
        <v>-9194</v>
      </c>
      <c r="L311" s="16">
        <v>0</v>
      </c>
      <c r="M311" s="16">
        <v>0</v>
      </c>
      <c r="N311" s="16">
        <v>0</v>
      </c>
      <c r="O311" s="16">
        <v>-319</v>
      </c>
      <c r="P311" s="16">
        <v>0</v>
      </c>
      <c r="Q311" s="16">
        <v>10</v>
      </c>
      <c r="R311" s="16">
        <v>0</v>
      </c>
      <c r="S311" s="16">
        <v>0</v>
      </c>
      <c r="T311" s="16">
        <v>-3</v>
      </c>
      <c r="U311" s="16">
        <v>-11</v>
      </c>
      <c r="V311" s="16">
        <v>-316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0</v>
      </c>
      <c r="AE311" s="16">
        <v>0</v>
      </c>
      <c r="AF311" s="16">
        <v>-9194</v>
      </c>
      <c r="AG311" s="16">
        <v>0</v>
      </c>
      <c r="AH311" s="16">
        <v>-69</v>
      </c>
      <c r="AI311" s="16">
        <v>-53</v>
      </c>
      <c r="AJ311" s="16">
        <v>0</v>
      </c>
      <c r="AK311" s="16">
        <v>-290</v>
      </c>
      <c r="AL311" s="16">
        <v>0</v>
      </c>
      <c r="AM311" s="16">
        <v>0</v>
      </c>
      <c r="AN311" s="16">
        <v>0</v>
      </c>
      <c r="AO311" s="16">
        <v>-412</v>
      </c>
      <c r="AP311" s="16">
        <v>-8782</v>
      </c>
      <c r="AQ311" s="5" t="s">
        <v>159</v>
      </c>
    </row>
    <row r="312" spans="1:43" x14ac:dyDescent="0.3">
      <c r="A312" s="9" t="s">
        <v>646</v>
      </c>
      <c r="B312" s="11" t="s">
        <v>645</v>
      </c>
      <c r="C312" s="16">
        <v>0</v>
      </c>
      <c r="D312" s="16">
        <v>0</v>
      </c>
      <c r="E312" s="16">
        <v>0</v>
      </c>
      <c r="F312" s="16">
        <v>0</v>
      </c>
      <c r="G312" s="16">
        <v>0</v>
      </c>
      <c r="H312" s="16">
        <v>0</v>
      </c>
      <c r="I312" s="16">
        <v>0</v>
      </c>
      <c r="J312" s="16">
        <v>1134</v>
      </c>
      <c r="K312" s="16">
        <v>0</v>
      </c>
      <c r="L312" s="16">
        <v>10</v>
      </c>
      <c r="M312" s="16">
        <v>0</v>
      </c>
      <c r="N312" s="16">
        <v>0</v>
      </c>
      <c r="O312" s="16">
        <v>34</v>
      </c>
      <c r="P312" s="16">
        <v>0</v>
      </c>
      <c r="Q312" s="16">
        <v>3</v>
      </c>
      <c r="R312" s="16">
        <v>0</v>
      </c>
      <c r="S312" s="16">
        <v>0</v>
      </c>
      <c r="T312" s="16">
        <v>0</v>
      </c>
      <c r="U312" s="16">
        <v>0</v>
      </c>
      <c r="V312" s="16">
        <v>34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1134</v>
      </c>
      <c r="AE312" s="16">
        <v>1134</v>
      </c>
      <c r="AF312" s="16">
        <v>0</v>
      </c>
      <c r="AG312" s="16">
        <v>0</v>
      </c>
      <c r="AH312" s="16">
        <v>0</v>
      </c>
      <c r="AI312" s="16">
        <v>0</v>
      </c>
      <c r="AJ312" s="16">
        <v>0</v>
      </c>
      <c r="AK312" s="16">
        <v>0</v>
      </c>
      <c r="AL312" s="16">
        <v>0</v>
      </c>
      <c r="AM312" s="16">
        <v>-801</v>
      </c>
      <c r="AN312" s="16">
        <v>0</v>
      </c>
      <c r="AO312" s="16">
        <v>-801</v>
      </c>
      <c r="AP312" s="16">
        <v>801</v>
      </c>
      <c r="AQ312" s="5" t="s">
        <v>159</v>
      </c>
    </row>
    <row r="313" spans="1:43" x14ac:dyDescent="0.3">
      <c r="A313" s="9" t="s">
        <v>648</v>
      </c>
      <c r="B313" s="11" t="s">
        <v>647</v>
      </c>
      <c r="C313" s="16">
        <v>337</v>
      </c>
      <c r="D313" s="16">
        <v>184</v>
      </c>
      <c r="E313" s="16">
        <v>30</v>
      </c>
      <c r="F313" s="16">
        <v>43</v>
      </c>
      <c r="G313" s="16">
        <v>18</v>
      </c>
      <c r="H313" s="16">
        <v>0</v>
      </c>
      <c r="I313" s="16">
        <v>0</v>
      </c>
      <c r="J313" s="16">
        <v>414</v>
      </c>
      <c r="K313" s="16">
        <v>0</v>
      </c>
      <c r="L313" s="16">
        <v>5</v>
      </c>
      <c r="M313" s="16">
        <v>0</v>
      </c>
      <c r="N313" s="16">
        <v>0</v>
      </c>
      <c r="O313" s="16">
        <v>144</v>
      </c>
      <c r="P313" s="16">
        <v>0</v>
      </c>
      <c r="Q313" s="16">
        <v>10</v>
      </c>
      <c r="R313" s="16">
        <v>0</v>
      </c>
      <c r="S313" s="16">
        <v>0</v>
      </c>
      <c r="T313" s="16">
        <v>0</v>
      </c>
      <c r="U313" s="16">
        <v>0</v>
      </c>
      <c r="V313" s="16">
        <v>144</v>
      </c>
      <c r="W313" s="16">
        <v>428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223</v>
      </c>
      <c r="AD313" s="16">
        <v>414</v>
      </c>
      <c r="AE313" s="16">
        <v>414</v>
      </c>
      <c r="AF313" s="16">
        <v>835</v>
      </c>
      <c r="AG313" s="16">
        <v>51</v>
      </c>
      <c r="AH313" s="16">
        <v>0</v>
      </c>
      <c r="AI313" s="16">
        <v>0</v>
      </c>
      <c r="AJ313" s="16">
        <v>0</v>
      </c>
      <c r="AK313" s="16">
        <v>24</v>
      </c>
      <c r="AL313" s="16">
        <v>0</v>
      </c>
      <c r="AM313" s="16">
        <v>-801</v>
      </c>
      <c r="AN313" s="16">
        <v>0</v>
      </c>
      <c r="AO313" s="16">
        <v>-726</v>
      </c>
      <c r="AP313" s="16">
        <v>1561</v>
      </c>
      <c r="AQ313" s="5" t="s">
        <v>159</v>
      </c>
    </row>
    <row r="314" spans="1:43" x14ac:dyDescent="0.3">
      <c r="A314" s="9" t="s">
        <v>650</v>
      </c>
      <c r="B314" s="11" t="s">
        <v>649</v>
      </c>
      <c r="C314" s="16">
        <v>0</v>
      </c>
      <c r="D314" s="16">
        <v>0</v>
      </c>
      <c r="E314" s="16">
        <v>0</v>
      </c>
      <c r="F314" s="16">
        <v>0</v>
      </c>
      <c r="G314" s="16">
        <v>0</v>
      </c>
      <c r="H314" s="16">
        <v>1000</v>
      </c>
      <c r="I314" s="16">
        <v>615.38</v>
      </c>
      <c r="J314" s="16">
        <v>-450</v>
      </c>
      <c r="K314" s="16">
        <v>0</v>
      </c>
      <c r="L314" s="16">
        <v>-4</v>
      </c>
      <c r="M314" s="16">
        <v>0</v>
      </c>
      <c r="N314" s="16">
        <v>-500</v>
      </c>
      <c r="O314" s="16">
        <v>-94</v>
      </c>
      <c r="P314" s="16">
        <v>0</v>
      </c>
      <c r="Q314" s="16">
        <v>-7.5</v>
      </c>
      <c r="R314" s="16">
        <v>0</v>
      </c>
      <c r="S314" s="16">
        <v>0</v>
      </c>
      <c r="T314" s="16">
        <v>0</v>
      </c>
      <c r="U314" s="16">
        <v>0</v>
      </c>
      <c r="V314" s="16">
        <v>-94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665</v>
      </c>
      <c r="AE314" s="16">
        <v>665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16">
        <v>0</v>
      </c>
      <c r="AL314" s="16">
        <v>0</v>
      </c>
      <c r="AM314" s="16">
        <v>-2403</v>
      </c>
      <c r="AN314" s="16">
        <v>0</v>
      </c>
      <c r="AO314" s="16">
        <v>-2403</v>
      </c>
      <c r="AP314" s="16">
        <v>2403</v>
      </c>
      <c r="AQ314" s="5" t="s">
        <v>159</v>
      </c>
    </row>
    <row r="315" spans="1:43" x14ac:dyDescent="0.3">
      <c r="A315" s="9" t="s">
        <v>652</v>
      </c>
      <c r="B315" s="11" t="s">
        <v>651</v>
      </c>
      <c r="C315" s="16">
        <v>0</v>
      </c>
      <c r="D315" s="16">
        <v>0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1700</v>
      </c>
      <c r="K315" s="16">
        <v>0</v>
      </c>
      <c r="L315" s="16">
        <v>11</v>
      </c>
      <c r="M315" s="16">
        <v>0</v>
      </c>
      <c r="N315" s="16">
        <v>0</v>
      </c>
      <c r="O315" s="16">
        <v>57</v>
      </c>
      <c r="P315" s="16">
        <v>0</v>
      </c>
      <c r="Q315" s="16">
        <v>2.5</v>
      </c>
      <c r="R315" s="16">
        <v>0</v>
      </c>
      <c r="S315" s="16">
        <v>0</v>
      </c>
      <c r="T315" s="16">
        <v>0</v>
      </c>
      <c r="U315" s="16">
        <v>0</v>
      </c>
      <c r="V315" s="16">
        <v>57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1700</v>
      </c>
      <c r="AE315" s="16">
        <v>1700</v>
      </c>
      <c r="AF315" s="16">
        <v>0</v>
      </c>
      <c r="AG315" s="16">
        <v>0</v>
      </c>
      <c r="AH315" s="16">
        <v>0</v>
      </c>
      <c r="AI315" s="16">
        <v>0</v>
      </c>
      <c r="AJ315" s="16">
        <v>0</v>
      </c>
      <c r="AK315" s="16">
        <v>0</v>
      </c>
      <c r="AL315" s="16">
        <v>0</v>
      </c>
      <c r="AM315" s="16">
        <v>-2403</v>
      </c>
      <c r="AN315" s="16">
        <v>0</v>
      </c>
      <c r="AO315" s="16">
        <v>-2403</v>
      </c>
      <c r="AP315" s="16">
        <v>2403</v>
      </c>
      <c r="AQ315" s="5" t="s">
        <v>159</v>
      </c>
    </row>
    <row r="316" spans="1:43" x14ac:dyDescent="0.3">
      <c r="A316" s="9" t="s">
        <v>654</v>
      </c>
      <c r="B316" s="11" t="s">
        <v>653</v>
      </c>
      <c r="C316" s="16">
        <v>0</v>
      </c>
      <c r="D316" s="16">
        <v>0</v>
      </c>
      <c r="E316" s="16">
        <v>0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0</v>
      </c>
      <c r="O316" s="16">
        <v>35</v>
      </c>
      <c r="P316" s="16">
        <v>0</v>
      </c>
      <c r="Q316" s="16">
        <v>3</v>
      </c>
      <c r="R316" s="16">
        <v>0</v>
      </c>
      <c r="S316" s="16">
        <v>0</v>
      </c>
      <c r="T316" s="16">
        <v>0</v>
      </c>
      <c r="U316" s="16">
        <v>0</v>
      </c>
      <c r="V316" s="16">
        <v>35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  <c r="AG316" s="16">
        <v>0</v>
      </c>
      <c r="AH316" s="16">
        <v>0</v>
      </c>
      <c r="AI316" s="16">
        <v>0</v>
      </c>
      <c r="AJ316" s="16">
        <v>0</v>
      </c>
      <c r="AK316" s="16">
        <v>0</v>
      </c>
      <c r="AL316" s="16">
        <v>0</v>
      </c>
      <c r="AM316" s="16">
        <v>-1602</v>
      </c>
      <c r="AN316" s="16">
        <v>0</v>
      </c>
      <c r="AO316" s="16">
        <v>-1602</v>
      </c>
      <c r="AP316" s="16">
        <v>1602</v>
      </c>
      <c r="AQ316" s="5" t="s">
        <v>159</v>
      </c>
    </row>
    <row r="317" spans="1:43" x14ac:dyDescent="0.3">
      <c r="A317" s="9" t="s">
        <v>656</v>
      </c>
      <c r="B317" s="11" t="s">
        <v>655</v>
      </c>
      <c r="C317" s="16">
        <v>0</v>
      </c>
      <c r="D317" s="16">
        <v>0</v>
      </c>
      <c r="E317" s="16">
        <v>0</v>
      </c>
      <c r="F317" s="16">
        <v>0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0</v>
      </c>
      <c r="N317" s="16">
        <v>0</v>
      </c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0</v>
      </c>
      <c r="AF317" s="16">
        <v>0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  <c r="AL317" s="16">
        <v>0</v>
      </c>
      <c r="AM317" s="16">
        <v>-2403</v>
      </c>
      <c r="AN317" s="16">
        <v>0</v>
      </c>
      <c r="AO317" s="16">
        <v>-2403</v>
      </c>
      <c r="AP317" s="16">
        <v>2403</v>
      </c>
      <c r="AQ317" s="5" t="s">
        <v>159</v>
      </c>
    </row>
    <row r="318" spans="1:43" x14ac:dyDescent="0.3">
      <c r="A318" s="9" t="s">
        <v>658</v>
      </c>
      <c r="B318" s="11" t="s">
        <v>657</v>
      </c>
      <c r="C318" s="16">
        <v>-1789</v>
      </c>
      <c r="D318" s="16">
        <v>-976</v>
      </c>
      <c r="E318" s="16">
        <v>-163</v>
      </c>
      <c r="F318" s="16">
        <v>-228</v>
      </c>
      <c r="G318" s="16">
        <v>-97</v>
      </c>
      <c r="H318" s="16">
        <v>0</v>
      </c>
      <c r="I318" s="16">
        <v>-1115.46</v>
      </c>
      <c r="J318" s="16">
        <v>-392</v>
      </c>
      <c r="K318" s="16">
        <v>-3253</v>
      </c>
      <c r="L318" s="16">
        <v>-4</v>
      </c>
      <c r="M318" s="16">
        <v>0</v>
      </c>
      <c r="N318" s="16">
        <v>0</v>
      </c>
      <c r="O318" s="16">
        <v>-64</v>
      </c>
      <c r="P318" s="16">
        <v>0</v>
      </c>
      <c r="Q318" s="16">
        <v>10</v>
      </c>
      <c r="R318" s="16">
        <v>-11</v>
      </c>
      <c r="S318" s="16">
        <v>-49</v>
      </c>
      <c r="T318" s="16">
        <v>-1</v>
      </c>
      <c r="U318" s="16">
        <v>-2</v>
      </c>
      <c r="V318" s="16">
        <v>-63</v>
      </c>
      <c r="W318" s="16">
        <v>-2277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-1507</v>
      </c>
      <c r="AE318" s="16">
        <v>-1496</v>
      </c>
      <c r="AF318" s="16">
        <v>-3253</v>
      </c>
      <c r="AG318" s="16">
        <v>-273</v>
      </c>
      <c r="AH318" s="16">
        <v>-25</v>
      </c>
      <c r="AI318" s="16">
        <v>0</v>
      </c>
      <c r="AJ318" s="16">
        <v>0</v>
      </c>
      <c r="AK318" s="16">
        <v>-105</v>
      </c>
      <c r="AL318" s="16">
        <v>0</v>
      </c>
      <c r="AM318" s="16">
        <v>0</v>
      </c>
      <c r="AN318" s="16">
        <v>0</v>
      </c>
      <c r="AO318" s="16">
        <v>-403</v>
      </c>
      <c r="AP318" s="16">
        <v>-2850</v>
      </c>
      <c r="AQ318" s="5" t="s">
        <v>159</v>
      </c>
    </row>
    <row r="319" spans="1:43" x14ac:dyDescent="0.3">
      <c r="A319" s="9" t="s">
        <v>660</v>
      </c>
      <c r="B319" s="11" t="s">
        <v>659</v>
      </c>
      <c r="C319" s="16">
        <v>0</v>
      </c>
      <c r="D319" s="16">
        <v>0</v>
      </c>
      <c r="E319" s="16">
        <v>0</v>
      </c>
      <c r="F319" s="16">
        <v>0</v>
      </c>
      <c r="G319" s="16">
        <v>0</v>
      </c>
      <c r="H319" s="16">
        <v>0</v>
      </c>
      <c r="I319" s="16">
        <v>0</v>
      </c>
      <c r="J319" s="16">
        <v>1388</v>
      </c>
      <c r="K319" s="16">
        <v>0</v>
      </c>
      <c r="L319" s="16">
        <v>7.5</v>
      </c>
      <c r="M319" s="16">
        <v>0</v>
      </c>
      <c r="N319" s="16">
        <v>0</v>
      </c>
      <c r="O319" s="16">
        <v>-69</v>
      </c>
      <c r="P319" s="16">
        <v>0</v>
      </c>
      <c r="Q319" s="16">
        <v>-2.5</v>
      </c>
      <c r="R319" s="16">
        <v>0</v>
      </c>
      <c r="S319" s="16">
        <v>0</v>
      </c>
      <c r="T319" s="16">
        <v>0</v>
      </c>
      <c r="U319" s="16">
        <v>0</v>
      </c>
      <c r="V319" s="16">
        <v>-69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1388</v>
      </c>
      <c r="AE319" s="16">
        <v>1388</v>
      </c>
      <c r="AF319" s="16">
        <v>0</v>
      </c>
      <c r="AG319" s="16">
        <v>0</v>
      </c>
      <c r="AH319" s="16">
        <v>0</v>
      </c>
      <c r="AI319" s="16">
        <v>0</v>
      </c>
      <c r="AJ319" s="16">
        <v>0</v>
      </c>
      <c r="AK319" s="16">
        <v>0</v>
      </c>
      <c r="AL319" s="16">
        <v>0</v>
      </c>
      <c r="AM319" s="16">
        <v>0</v>
      </c>
      <c r="AN319" s="16">
        <v>0</v>
      </c>
      <c r="AO319" s="16">
        <v>0</v>
      </c>
      <c r="AP319" s="16">
        <v>0</v>
      </c>
      <c r="AQ319" s="5" t="s">
        <v>159</v>
      </c>
    </row>
    <row r="320" spans="1:43" x14ac:dyDescent="0.3">
      <c r="A320" s="9" t="s">
        <v>662</v>
      </c>
      <c r="B320" s="11" t="s">
        <v>661</v>
      </c>
      <c r="C320" s="16">
        <v>-9854</v>
      </c>
      <c r="D320" s="16">
        <v>-5375</v>
      </c>
      <c r="E320" s="16">
        <v>-896</v>
      </c>
      <c r="F320" s="16">
        <v>-1254</v>
      </c>
      <c r="G320" s="16">
        <v>-538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-1285</v>
      </c>
      <c r="P320" s="16">
        <v>0</v>
      </c>
      <c r="Q320" s="16">
        <v>-93</v>
      </c>
      <c r="R320" s="16">
        <v>0</v>
      </c>
      <c r="S320" s="16">
        <v>0</v>
      </c>
      <c r="T320" s="16">
        <v>0</v>
      </c>
      <c r="U320" s="16">
        <v>0</v>
      </c>
      <c r="V320" s="16">
        <v>-1285</v>
      </c>
      <c r="W320" s="16">
        <v>-12542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-6014</v>
      </c>
      <c r="AD320" s="16">
        <v>0</v>
      </c>
      <c r="AE320" s="16">
        <v>0</v>
      </c>
      <c r="AF320" s="16">
        <v>-23931</v>
      </c>
      <c r="AG320" s="16">
        <v>-1505</v>
      </c>
      <c r="AH320" s="16">
        <v>0</v>
      </c>
      <c r="AI320" s="16">
        <v>-178</v>
      </c>
      <c r="AJ320" s="16">
        <v>0</v>
      </c>
      <c r="AK320" s="16">
        <v>-502</v>
      </c>
      <c r="AL320" s="16">
        <v>0</v>
      </c>
      <c r="AM320" s="16">
        <v>0</v>
      </c>
      <c r="AN320" s="16">
        <v>-100</v>
      </c>
      <c r="AO320" s="16">
        <v>-2285</v>
      </c>
      <c r="AP320" s="16">
        <v>-21646</v>
      </c>
      <c r="AQ320" s="5" t="s">
        <v>159</v>
      </c>
    </row>
    <row r="321" spans="1:43" x14ac:dyDescent="0.3">
      <c r="A321" s="9" t="s">
        <v>664</v>
      </c>
      <c r="B321" s="11" t="s">
        <v>663</v>
      </c>
      <c r="C321" s="16">
        <v>36</v>
      </c>
      <c r="D321" s="16">
        <v>19</v>
      </c>
      <c r="E321" s="16">
        <v>3</v>
      </c>
      <c r="F321" s="16">
        <v>4</v>
      </c>
      <c r="G321" s="16">
        <v>2</v>
      </c>
      <c r="H321" s="16">
        <v>0</v>
      </c>
      <c r="I321" s="16">
        <v>0</v>
      </c>
      <c r="J321" s="16">
        <v>1678</v>
      </c>
      <c r="K321" s="16">
        <v>0</v>
      </c>
      <c r="L321" s="16">
        <v>17</v>
      </c>
      <c r="M321" s="16">
        <v>0</v>
      </c>
      <c r="N321" s="16">
        <v>0</v>
      </c>
      <c r="O321" s="16">
        <v>-351</v>
      </c>
      <c r="P321" s="16">
        <v>0</v>
      </c>
      <c r="Q321" s="16">
        <v>-32.5</v>
      </c>
      <c r="R321" s="16">
        <v>0</v>
      </c>
      <c r="S321" s="16">
        <v>0</v>
      </c>
      <c r="T321" s="16">
        <v>0</v>
      </c>
      <c r="U321" s="16">
        <v>0</v>
      </c>
      <c r="V321" s="16">
        <v>-351</v>
      </c>
      <c r="W321" s="16">
        <v>45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10</v>
      </c>
      <c r="AD321" s="16">
        <v>1678</v>
      </c>
      <c r="AE321" s="16">
        <v>1678</v>
      </c>
      <c r="AF321" s="16">
        <v>74</v>
      </c>
      <c r="AG321" s="16">
        <v>5</v>
      </c>
      <c r="AH321" s="16">
        <v>0</v>
      </c>
      <c r="AI321" s="16">
        <v>0</v>
      </c>
      <c r="AJ321" s="16">
        <v>0</v>
      </c>
      <c r="AK321" s="16">
        <v>2</v>
      </c>
      <c r="AL321" s="16">
        <v>0</v>
      </c>
      <c r="AM321" s="16">
        <v>-801</v>
      </c>
      <c r="AN321" s="16">
        <v>0</v>
      </c>
      <c r="AO321" s="16">
        <v>-794</v>
      </c>
      <c r="AP321" s="16">
        <v>868</v>
      </c>
      <c r="AQ321" s="5" t="s">
        <v>159</v>
      </c>
    </row>
    <row r="322" spans="1:43" x14ac:dyDescent="0.3">
      <c r="A322" s="9" t="s">
        <v>666</v>
      </c>
      <c r="B322" s="11" t="s">
        <v>665</v>
      </c>
      <c r="C322" s="16">
        <v>-6418</v>
      </c>
      <c r="D322" s="16">
        <v>-3501</v>
      </c>
      <c r="E322" s="16">
        <v>-583</v>
      </c>
      <c r="F322" s="16">
        <v>-817</v>
      </c>
      <c r="G322" s="16">
        <v>-350</v>
      </c>
      <c r="H322" s="16">
        <v>0</v>
      </c>
      <c r="I322" s="16">
        <v>0</v>
      </c>
      <c r="J322" s="16">
        <v>-1800</v>
      </c>
      <c r="K322" s="16">
        <v>0</v>
      </c>
      <c r="L322" s="16">
        <v>-16</v>
      </c>
      <c r="M322" s="16">
        <v>0</v>
      </c>
      <c r="N322" s="16">
        <v>0</v>
      </c>
      <c r="O322" s="16">
        <v>-799</v>
      </c>
      <c r="P322" s="16">
        <v>0</v>
      </c>
      <c r="Q322" s="16">
        <v>-20.5</v>
      </c>
      <c r="R322" s="16">
        <v>0</v>
      </c>
      <c r="S322" s="16">
        <v>0</v>
      </c>
      <c r="T322" s="16">
        <v>0</v>
      </c>
      <c r="U322" s="16">
        <v>0</v>
      </c>
      <c r="V322" s="16">
        <v>-799</v>
      </c>
      <c r="W322" s="16">
        <v>-8168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  <c r="AC322" s="16">
        <v>-2334</v>
      </c>
      <c r="AD322" s="16">
        <v>-1800</v>
      </c>
      <c r="AE322" s="16">
        <v>-1800</v>
      </c>
      <c r="AF322" s="16">
        <v>-14003</v>
      </c>
      <c r="AG322" s="16">
        <v>-981</v>
      </c>
      <c r="AH322" s="16">
        <v>0</v>
      </c>
      <c r="AI322" s="16">
        <v>-37</v>
      </c>
      <c r="AJ322" s="16">
        <v>0</v>
      </c>
      <c r="AK322" s="16">
        <v>-329</v>
      </c>
      <c r="AL322" s="16">
        <v>0</v>
      </c>
      <c r="AM322" s="16">
        <v>-2403</v>
      </c>
      <c r="AN322" s="16">
        <v>0</v>
      </c>
      <c r="AO322" s="16">
        <v>-3750</v>
      </c>
      <c r="AP322" s="16">
        <v>-10253</v>
      </c>
      <c r="AQ322" s="5" t="s">
        <v>159</v>
      </c>
    </row>
    <row r="323" spans="1:43" x14ac:dyDescent="0.3">
      <c r="A323" s="9" t="s">
        <v>668</v>
      </c>
      <c r="B323" s="11" t="s">
        <v>667</v>
      </c>
      <c r="C323" s="16">
        <v>0</v>
      </c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-32</v>
      </c>
      <c r="P323" s="16">
        <v>0</v>
      </c>
      <c r="Q323" s="16">
        <v>-0.5</v>
      </c>
      <c r="R323" s="16">
        <v>0</v>
      </c>
      <c r="S323" s="16">
        <v>0</v>
      </c>
      <c r="T323" s="16">
        <v>0</v>
      </c>
      <c r="U323" s="16">
        <v>0</v>
      </c>
      <c r="V323" s="16">
        <v>-32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>
        <v>0</v>
      </c>
      <c r="AE323" s="16">
        <v>0</v>
      </c>
      <c r="AF323" s="16">
        <v>0</v>
      </c>
      <c r="AG323" s="16">
        <v>0</v>
      </c>
      <c r="AH323" s="16">
        <v>0</v>
      </c>
      <c r="AI323" s="16">
        <v>0</v>
      </c>
      <c r="AJ323" s="16">
        <v>-8300</v>
      </c>
      <c r="AK323" s="16">
        <v>0</v>
      </c>
      <c r="AL323" s="16">
        <v>0</v>
      </c>
      <c r="AM323" s="16">
        <v>-4005</v>
      </c>
      <c r="AN323" s="16">
        <v>0</v>
      </c>
      <c r="AO323" s="16">
        <v>-12305</v>
      </c>
      <c r="AP323" s="16">
        <v>12305</v>
      </c>
      <c r="AQ323" s="5" t="s">
        <v>159</v>
      </c>
    </row>
    <row r="324" spans="1:43" x14ac:dyDescent="0.3">
      <c r="A324" s="9" t="s">
        <v>670</v>
      </c>
      <c r="B324" s="11" t="s">
        <v>669</v>
      </c>
      <c r="C324" s="16">
        <v>-685</v>
      </c>
      <c r="D324" s="16">
        <v>-374</v>
      </c>
      <c r="E324" s="16">
        <v>-62</v>
      </c>
      <c r="F324" s="16">
        <v>-87</v>
      </c>
      <c r="G324" s="16">
        <v>-37</v>
      </c>
      <c r="H324" s="16">
        <v>0</v>
      </c>
      <c r="I324" s="16">
        <v>0</v>
      </c>
      <c r="J324" s="16">
        <v>612</v>
      </c>
      <c r="K324" s="16">
        <v>0</v>
      </c>
      <c r="L324" s="16">
        <v>6</v>
      </c>
      <c r="M324" s="16">
        <v>0</v>
      </c>
      <c r="N324" s="16">
        <v>0</v>
      </c>
      <c r="O324" s="16">
        <v>96</v>
      </c>
      <c r="P324" s="16">
        <v>0</v>
      </c>
      <c r="Q324" s="16">
        <v>12.5</v>
      </c>
      <c r="R324" s="16">
        <v>0</v>
      </c>
      <c r="S324" s="16">
        <v>0</v>
      </c>
      <c r="T324" s="16">
        <v>0</v>
      </c>
      <c r="U324" s="16">
        <v>0</v>
      </c>
      <c r="V324" s="16">
        <v>96</v>
      </c>
      <c r="W324" s="16">
        <v>-871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  <c r="AC324" s="16">
        <v>-571</v>
      </c>
      <c r="AD324" s="16">
        <v>612</v>
      </c>
      <c r="AE324" s="16">
        <v>612</v>
      </c>
      <c r="AF324" s="16">
        <v>-1816</v>
      </c>
      <c r="AG324" s="16">
        <v>-104</v>
      </c>
      <c r="AH324" s="16">
        <v>0</v>
      </c>
      <c r="AI324" s="16">
        <v>0</v>
      </c>
      <c r="AJ324" s="16">
        <v>0</v>
      </c>
      <c r="AK324" s="16">
        <v>-39</v>
      </c>
      <c r="AL324" s="16">
        <v>0</v>
      </c>
      <c r="AM324" s="16">
        <v>-2403</v>
      </c>
      <c r="AN324" s="16">
        <v>0</v>
      </c>
      <c r="AO324" s="16">
        <v>-2546</v>
      </c>
      <c r="AP324" s="16">
        <v>730</v>
      </c>
      <c r="AQ324" s="5" t="s">
        <v>159</v>
      </c>
    </row>
    <row r="325" spans="1:43" x14ac:dyDescent="0.3">
      <c r="A325" s="9" t="s">
        <v>672</v>
      </c>
      <c r="B325" s="11" t="s">
        <v>671</v>
      </c>
      <c r="C325" s="16">
        <v>0</v>
      </c>
      <c r="D325" s="16">
        <v>0</v>
      </c>
      <c r="E325" s="16">
        <v>0</v>
      </c>
      <c r="F325" s="16">
        <v>0</v>
      </c>
      <c r="G325" s="16">
        <v>0</v>
      </c>
      <c r="H325" s="16">
        <v>0</v>
      </c>
      <c r="I325" s="16">
        <v>0</v>
      </c>
      <c r="J325" s="16">
        <v>0</v>
      </c>
      <c r="K325" s="16">
        <v>0</v>
      </c>
      <c r="L325" s="16">
        <v>0</v>
      </c>
      <c r="M325" s="16">
        <v>0</v>
      </c>
      <c r="N325" s="16">
        <v>0</v>
      </c>
      <c r="O325" s="16">
        <v>26</v>
      </c>
      <c r="P325" s="16">
        <v>0</v>
      </c>
      <c r="Q325" s="16">
        <v>0.5</v>
      </c>
      <c r="R325" s="16">
        <v>0</v>
      </c>
      <c r="S325" s="16">
        <v>0</v>
      </c>
      <c r="T325" s="16">
        <v>0</v>
      </c>
      <c r="U325" s="16">
        <v>0</v>
      </c>
      <c r="V325" s="16">
        <v>26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  <c r="AG325" s="16">
        <v>0</v>
      </c>
      <c r="AH325" s="16">
        <v>0</v>
      </c>
      <c r="AI325" s="16">
        <v>0</v>
      </c>
      <c r="AJ325" s="16">
        <v>-4088</v>
      </c>
      <c r="AK325" s="16">
        <v>0</v>
      </c>
      <c r="AL325" s="16">
        <v>0</v>
      </c>
      <c r="AM325" s="16">
        <v>-3204</v>
      </c>
      <c r="AN325" s="16">
        <v>0</v>
      </c>
      <c r="AO325" s="16">
        <v>-7292</v>
      </c>
      <c r="AP325" s="16">
        <v>7292</v>
      </c>
      <c r="AQ325" s="5" t="s">
        <v>159</v>
      </c>
    </row>
    <row r="326" spans="1:43" x14ac:dyDescent="0.3">
      <c r="A326" s="9" t="s">
        <v>674</v>
      </c>
      <c r="B326" s="11" t="s">
        <v>673</v>
      </c>
      <c r="C326" s="16">
        <v>0</v>
      </c>
      <c r="D326" s="16">
        <v>0</v>
      </c>
      <c r="E326" s="16">
        <v>0</v>
      </c>
      <c r="F326" s="16">
        <v>0</v>
      </c>
      <c r="G326" s="16">
        <v>0</v>
      </c>
      <c r="H326" s="16">
        <v>0</v>
      </c>
      <c r="I326" s="16">
        <v>-384.62</v>
      </c>
      <c r="J326" s="16">
        <v>2155</v>
      </c>
      <c r="K326" s="16">
        <v>0</v>
      </c>
      <c r="L326" s="16">
        <v>19</v>
      </c>
      <c r="M326" s="16">
        <v>0</v>
      </c>
      <c r="N326" s="16">
        <v>0</v>
      </c>
      <c r="O326" s="16">
        <v>34</v>
      </c>
      <c r="P326" s="16">
        <v>0</v>
      </c>
      <c r="Q326" s="16">
        <v>2.25</v>
      </c>
      <c r="R326" s="16">
        <v>0</v>
      </c>
      <c r="S326" s="16">
        <v>0</v>
      </c>
      <c r="T326" s="16">
        <v>0</v>
      </c>
      <c r="U326" s="16">
        <v>0</v>
      </c>
      <c r="V326" s="16">
        <v>34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1770</v>
      </c>
      <c r="AE326" s="16">
        <v>1770</v>
      </c>
      <c r="AF326" s="16">
        <v>0</v>
      </c>
      <c r="AG326" s="16">
        <v>0</v>
      </c>
      <c r="AH326" s="16">
        <v>0</v>
      </c>
      <c r="AI326" s="16">
        <v>0</v>
      </c>
      <c r="AJ326" s="16">
        <v>0</v>
      </c>
      <c r="AK326" s="16">
        <v>0</v>
      </c>
      <c r="AL326" s="16">
        <v>0</v>
      </c>
      <c r="AM326" s="16">
        <v>-801</v>
      </c>
      <c r="AN326" s="16">
        <v>0</v>
      </c>
      <c r="AO326" s="16">
        <v>-801</v>
      </c>
      <c r="AP326" s="16">
        <v>801</v>
      </c>
      <c r="AQ326" s="5" t="s">
        <v>159</v>
      </c>
    </row>
    <row r="327" spans="1:43" x14ac:dyDescent="0.3">
      <c r="A327" s="9" t="s">
        <v>676</v>
      </c>
      <c r="B327" s="11" t="s">
        <v>675</v>
      </c>
      <c r="C327" s="16">
        <v>0</v>
      </c>
      <c r="D327" s="16">
        <v>0</v>
      </c>
      <c r="E327" s="16">
        <v>0</v>
      </c>
      <c r="F327" s="16">
        <v>0</v>
      </c>
      <c r="G327" s="16">
        <v>0</v>
      </c>
      <c r="H327" s="16">
        <v>1000</v>
      </c>
      <c r="I327" s="16">
        <v>0</v>
      </c>
      <c r="J327" s="16">
        <v>6835</v>
      </c>
      <c r="K327" s="16">
        <v>0</v>
      </c>
      <c r="L327" s="16">
        <v>59</v>
      </c>
      <c r="M327" s="16">
        <v>0</v>
      </c>
      <c r="N327" s="16">
        <v>1000</v>
      </c>
      <c r="O327" s="16">
        <v>-481</v>
      </c>
      <c r="P327" s="16">
        <v>500</v>
      </c>
      <c r="Q327" s="16">
        <v>-32.5</v>
      </c>
      <c r="R327" s="16">
        <v>0</v>
      </c>
      <c r="S327" s="16">
        <v>0</v>
      </c>
      <c r="T327" s="16">
        <v>0</v>
      </c>
      <c r="U327" s="16">
        <v>0</v>
      </c>
      <c r="V327" s="16">
        <v>-481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0</v>
      </c>
      <c r="AD327" s="16">
        <v>9335</v>
      </c>
      <c r="AE327" s="16">
        <v>9335</v>
      </c>
      <c r="AF327" s="16">
        <v>0</v>
      </c>
      <c r="AG327" s="16">
        <v>0</v>
      </c>
      <c r="AH327" s="16">
        <v>0</v>
      </c>
      <c r="AI327" s="16">
        <v>0</v>
      </c>
      <c r="AJ327" s="16">
        <v>0</v>
      </c>
      <c r="AK327" s="16">
        <v>0</v>
      </c>
      <c r="AL327" s="16">
        <v>0</v>
      </c>
      <c r="AM327" s="16">
        <v>-2403</v>
      </c>
      <c r="AN327" s="16">
        <v>0</v>
      </c>
      <c r="AO327" s="16">
        <v>-2403</v>
      </c>
      <c r="AP327" s="16">
        <v>2403</v>
      </c>
      <c r="AQ327" s="5" t="s">
        <v>159</v>
      </c>
    </row>
    <row r="328" spans="1:43" x14ac:dyDescent="0.3">
      <c r="A328" s="9" t="s">
        <v>678</v>
      </c>
      <c r="B328" s="11" t="s">
        <v>677</v>
      </c>
      <c r="C328" s="16">
        <v>-8730</v>
      </c>
      <c r="D328" s="16">
        <v>-4762</v>
      </c>
      <c r="E328" s="16">
        <v>-793</v>
      </c>
      <c r="F328" s="16">
        <v>-1111</v>
      </c>
      <c r="G328" s="16">
        <v>-477</v>
      </c>
      <c r="H328" s="16">
        <v>0</v>
      </c>
      <c r="I328" s="16">
        <v>-615.15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-602</v>
      </c>
      <c r="P328" s="16">
        <v>0</v>
      </c>
      <c r="Q328" s="16">
        <v>22.5</v>
      </c>
      <c r="R328" s="16">
        <v>0</v>
      </c>
      <c r="S328" s="16">
        <v>0</v>
      </c>
      <c r="T328" s="16">
        <v>0</v>
      </c>
      <c r="U328" s="16">
        <v>0</v>
      </c>
      <c r="V328" s="16">
        <v>-602</v>
      </c>
      <c r="W328" s="16">
        <v>-11111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6">
        <v>-1469</v>
      </c>
      <c r="AD328" s="16">
        <v>-615</v>
      </c>
      <c r="AE328" s="16">
        <v>-615</v>
      </c>
      <c r="AF328" s="16">
        <v>-17342</v>
      </c>
      <c r="AG328" s="16">
        <v>-1334</v>
      </c>
      <c r="AH328" s="16">
        <v>0</v>
      </c>
      <c r="AI328" s="16">
        <v>-208</v>
      </c>
      <c r="AJ328" s="16">
        <v>0</v>
      </c>
      <c r="AK328" s="16">
        <v>-437</v>
      </c>
      <c r="AL328" s="16">
        <v>0</v>
      </c>
      <c r="AM328" s="16">
        <v>-801</v>
      </c>
      <c r="AN328" s="16">
        <v>0</v>
      </c>
      <c r="AO328" s="16">
        <v>-2780</v>
      </c>
      <c r="AP328" s="16">
        <v>-14562</v>
      </c>
      <c r="AQ328" s="5" t="s">
        <v>159</v>
      </c>
    </row>
    <row r="329" spans="1:43" x14ac:dyDescent="0.3">
      <c r="A329" s="9" t="s">
        <v>680</v>
      </c>
      <c r="B329" s="11" t="s">
        <v>679</v>
      </c>
      <c r="C329" s="16">
        <v>0</v>
      </c>
      <c r="D329" s="16">
        <v>0</v>
      </c>
      <c r="E329" s="16">
        <v>0</v>
      </c>
      <c r="F329" s="16">
        <v>0</v>
      </c>
      <c r="G329" s="16">
        <v>0</v>
      </c>
      <c r="H329" s="16">
        <v>0</v>
      </c>
      <c r="I329" s="16">
        <v>0</v>
      </c>
      <c r="J329" s="16">
        <v>3059</v>
      </c>
      <c r="K329" s="16">
        <v>0</v>
      </c>
      <c r="L329" s="16">
        <v>16</v>
      </c>
      <c r="M329" s="16">
        <v>0</v>
      </c>
      <c r="N329" s="16">
        <v>0</v>
      </c>
      <c r="O329" s="16">
        <v>193</v>
      </c>
      <c r="P329" s="16">
        <v>500</v>
      </c>
      <c r="Q329" s="16">
        <v>7.5</v>
      </c>
      <c r="R329" s="16">
        <v>0</v>
      </c>
      <c r="S329" s="16">
        <v>0</v>
      </c>
      <c r="T329" s="16">
        <v>0</v>
      </c>
      <c r="U329" s="16">
        <v>0</v>
      </c>
      <c r="V329" s="16">
        <v>193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3559</v>
      </c>
      <c r="AE329" s="16">
        <v>3559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-2403</v>
      </c>
      <c r="AN329" s="16">
        <v>0</v>
      </c>
      <c r="AO329" s="16">
        <v>-2403</v>
      </c>
      <c r="AP329" s="16">
        <v>2403</v>
      </c>
      <c r="AQ329" s="5" t="s">
        <v>159</v>
      </c>
    </row>
    <row r="330" spans="1:43" x14ac:dyDescent="0.3">
      <c r="A330" s="9" t="s">
        <v>682</v>
      </c>
      <c r="B330" s="11" t="s">
        <v>681</v>
      </c>
      <c r="C330" s="16">
        <v>0</v>
      </c>
      <c r="D330" s="16">
        <v>0</v>
      </c>
      <c r="E330" s="16">
        <v>0</v>
      </c>
      <c r="F330" s="16">
        <v>0</v>
      </c>
      <c r="G330" s="16">
        <v>0</v>
      </c>
      <c r="H330" s="16">
        <v>0</v>
      </c>
      <c r="I330" s="16">
        <v>-846.62</v>
      </c>
      <c r="J330" s="16">
        <v>16165</v>
      </c>
      <c r="K330" s="16">
        <v>0</v>
      </c>
      <c r="L330" s="16">
        <v>142.5</v>
      </c>
      <c r="M330" s="16">
        <v>0</v>
      </c>
      <c r="N330" s="16">
        <v>500</v>
      </c>
      <c r="O330" s="16">
        <v>67</v>
      </c>
      <c r="P330" s="16">
        <v>1000</v>
      </c>
      <c r="Q330" s="16">
        <v>4</v>
      </c>
      <c r="R330" s="16">
        <v>0</v>
      </c>
      <c r="S330" s="16">
        <v>0</v>
      </c>
      <c r="T330" s="16">
        <v>0</v>
      </c>
      <c r="U330" s="16">
        <v>0</v>
      </c>
      <c r="V330" s="16">
        <v>67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  <c r="AC330" s="16">
        <v>0</v>
      </c>
      <c r="AD330" s="16">
        <v>16818</v>
      </c>
      <c r="AE330" s="16">
        <v>16818</v>
      </c>
      <c r="AF330" s="16">
        <v>0</v>
      </c>
      <c r="AG330" s="16">
        <v>0</v>
      </c>
      <c r="AH330" s="16">
        <v>0</v>
      </c>
      <c r="AI330" s="16">
        <v>0</v>
      </c>
      <c r="AJ330" s="16">
        <v>0</v>
      </c>
      <c r="AK330" s="16">
        <v>0</v>
      </c>
      <c r="AL330" s="16">
        <v>0</v>
      </c>
      <c r="AM330" s="16">
        <v>0</v>
      </c>
      <c r="AN330" s="16">
        <v>0</v>
      </c>
      <c r="AO330" s="16">
        <v>0</v>
      </c>
      <c r="AP330" s="16">
        <v>0</v>
      </c>
      <c r="AQ330" s="5" t="s">
        <v>159</v>
      </c>
    </row>
    <row r="331" spans="1:43" x14ac:dyDescent="0.3">
      <c r="A331" s="9" t="s">
        <v>684</v>
      </c>
      <c r="B331" s="11" t="s">
        <v>683</v>
      </c>
      <c r="C331" s="16">
        <v>0</v>
      </c>
      <c r="D331" s="16">
        <v>0</v>
      </c>
      <c r="E331" s="16">
        <v>0</v>
      </c>
      <c r="F331" s="16">
        <v>0</v>
      </c>
      <c r="G331" s="16">
        <v>0</v>
      </c>
      <c r="H331" s="16">
        <v>0</v>
      </c>
      <c r="I331" s="16">
        <v>0</v>
      </c>
      <c r="J331" s="16">
        <v>0</v>
      </c>
      <c r="K331" s="16">
        <v>0</v>
      </c>
      <c r="L331" s="16">
        <v>0</v>
      </c>
      <c r="M331" s="16">
        <v>0</v>
      </c>
      <c r="N331" s="16">
        <v>0</v>
      </c>
      <c r="O331" s="16">
        <v>172</v>
      </c>
      <c r="P331" s="16">
        <v>0</v>
      </c>
      <c r="Q331" s="16">
        <v>6.5</v>
      </c>
      <c r="R331" s="16">
        <v>0</v>
      </c>
      <c r="S331" s="16">
        <v>0</v>
      </c>
      <c r="T331" s="16">
        <v>0</v>
      </c>
      <c r="U331" s="16">
        <v>0</v>
      </c>
      <c r="V331" s="16">
        <v>172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  <c r="AG331" s="16">
        <v>0</v>
      </c>
      <c r="AH331" s="16">
        <v>0</v>
      </c>
      <c r="AI331" s="16">
        <v>0</v>
      </c>
      <c r="AJ331" s="16">
        <v>0</v>
      </c>
      <c r="AK331" s="16">
        <v>0</v>
      </c>
      <c r="AL331" s="16">
        <v>0</v>
      </c>
      <c r="AM331" s="16">
        <v>-1602</v>
      </c>
      <c r="AN331" s="16">
        <v>0</v>
      </c>
      <c r="AO331" s="16">
        <v>-1602</v>
      </c>
      <c r="AP331" s="16">
        <v>1602</v>
      </c>
      <c r="AQ331" s="5" t="s">
        <v>159</v>
      </c>
    </row>
    <row r="332" spans="1:43" x14ac:dyDescent="0.3">
      <c r="A332" s="9" t="s">
        <v>686</v>
      </c>
      <c r="B332" s="11" t="s">
        <v>685</v>
      </c>
      <c r="C332" s="16">
        <v>-332</v>
      </c>
      <c r="D332" s="16">
        <v>-181</v>
      </c>
      <c r="E332" s="16">
        <v>-31</v>
      </c>
      <c r="F332" s="16">
        <v>-42</v>
      </c>
      <c r="G332" s="16">
        <v>-18</v>
      </c>
      <c r="H332" s="16">
        <v>-1000</v>
      </c>
      <c r="I332" s="16">
        <v>-817.31</v>
      </c>
      <c r="J332" s="16">
        <v>-3567</v>
      </c>
      <c r="K332" s="16">
        <v>-677</v>
      </c>
      <c r="L332" s="16">
        <v>-36</v>
      </c>
      <c r="M332" s="16">
        <v>0</v>
      </c>
      <c r="N332" s="16">
        <v>-500</v>
      </c>
      <c r="O332" s="16">
        <v>159</v>
      </c>
      <c r="P332" s="16">
        <v>-1000</v>
      </c>
      <c r="Q332" s="16">
        <v>17.5</v>
      </c>
      <c r="R332" s="16">
        <v>-52</v>
      </c>
      <c r="S332" s="16">
        <v>-224</v>
      </c>
      <c r="T332" s="16">
        <v>2</v>
      </c>
      <c r="U332" s="16">
        <v>5</v>
      </c>
      <c r="V332" s="16">
        <v>157</v>
      </c>
      <c r="W332" s="16">
        <v>-423</v>
      </c>
      <c r="X332" s="16">
        <v>-1500</v>
      </c>
      <c r="Y332" s="16">
        <v>-11.25</v>
      </c>
      <c r="Z332" s="16">
        <v>-48.75</v>
      </c>
      <c r="AA332" s="16">
        <v>-1451.25</v>
      </c>
      <c r="AB332" s="16">
        <v>0</v>
      </c>
      <c r="AC332" s="16">
        <v>-73</v>
      </c>
      <c r="AD332" s="16">
        <v>-6884</v>
      </c>
      <c r="AE332" s="16">
        <v>-6832</v>
      </c>
      <c r="AF332" s="16">
        <v>-677</v>
      </c>
      <c r="AG332" s="16">
        <v>-51</v>
      </c>
      <c r="AH332" s="16">
        <v>-5</v>
      </c>
      <c r="AI332" s="16">
        <v>0</v>
      </c>
      <c r="AJ332" s="16">
        <v>0</v>
      </c>
      <c r="AK332" s="16">
        <v>-19</v>
      </c>
      <c r="AL332" s="16">
        <v>0</v>
      </c>
      <c r="AM332" s="16">
        <v>0</v>
      </c>
      <c r="AN332" s="16">
        <v>0</v>
      </c>
      <c r="AO332" s="16">
        <v>-75</v>
      </c>
      <c r="AP332" s="16">
        <v>-602</v>
      </c>
      <c r="AQ332" s="5" t="s">
        <v>159</v>
      </c>
    </row>
    <row r="333" spans="1:43" x14ac:dyDescent="0.3">
      <c r="A333" s="9" t="s">
        <v>688</v>
      </c>
      <c r="B333" s="11" t="s">
        <v>687</v>
      </c>
      <c r="C333" s="16">
        <v>-762</v>
      </c>
      <c r="D333" s="16">
        <v>-415</v>
      </c>
      <c r="E333" s="16">
        <v>-70</v>
      </c>
      <c r="F333" s="16">
        <v>-97</v>
      </c>
      <c r="G333" s="16">
        <v>-42</v>
      </c>
      <c r="H333" s="16">
        <v>0</v>
      </c>
      <c r="I333" s="16">
        <v>28.54</v>
      </c>
      <c r="J333" s="16">
        <v>-681</v>
      </c>
      <c r="K333" s="16">
        <v>0</v>
      </c>
      <c r="L333" s="16">
        <v>-6</v>
      </c>
      <c r="M333" s="16">
        <v>0</v>
      </c>
      <c r="N333" s="16">
        <v>0</v>
      </c>
      <c r="O333" s="16">
        <v>73</v>
      </c>
      <c r="P333" s="16">
        <v>0</v>
      </c>
      <c r="Q333" s="16">
        <v>10</v>
      </c>
      <c r="R333" s="16">
        <v>0</v>
      </c>
      <c r="S333" s="16">
        <v>0</v>
      </c>
      <c r="T333" s="16">
        <v>0</v>
      </c>
      <c r="U333" s="16">
        <v>0</v>
      </c>
      <c r="V333" s="16">
        <v>73</v>
      </c>
      <c r="W333" s="16">
        <v>-954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-1043</v>
      </c>
      <c r="AD333" s="16">
        <v>-652</v>
      </c>
      <c r="AE333" s="16">
        <v>-652</v>
      </c>
      <c r="AF333" s="16">
        <v>-2429</v>
      </c>
      <c r="AG333" s="16">
        <v>-114</v>
      </c>
      <c r="AH333" s="16">
        <v>0</v>
      </c>
      <c r="AI333" s="16">
        <v>0</v>
      </c>
      <c r="AJ333" s="16">
        <v>0</v>
      </c>
      <c r="AK333" s="16">
        <v>-39</v>
      </c>
      <c r="AL333" s="16">
        <v>0</v>
      </c>
      <c r="AM333" s="16">
        <v>-1602</v>
      </c>
      <c r="AN333" s="16">
        <v>0</v>
      </c>
      <c r="AO333" s="16">
        <v>-1755</v>
      </c>
      <c r="AP333" s="16">
        <v>-674</v>
      </c>
      <c r="AQ333" s="5" t="s">
        <v>159</v>
      </c>
    </row>
    <row r="334" spans="1:43" x14ac:dyDescent="0.3">
      <c r="A334" s="9" t="s">
        <v>690</v>
      </c>
      <c r="B334" s="11" t="s">
        <v>689</v>
      </c>
      <c r="C334" s="16">
        <v>0</v>
      </c>
      <c r="D334" s="16">
        <v>0</v>
      </c>
      <c r="E334" s="16">
        <v>0</v>
      </c>
      <c r="F334" s="16">
        <v>0</v>
      </c>
      <c r="G334" s="16">
        <v>0</v>
      </c>
      <c r="H334" s="16">
        <v>0</v>
      </c>
      <c r="I334" s="16">
        <v>0</v>
      </c>
      <c r="J334" s="16">
        <v>-3702</v>
      </c>
      <c r="K334" s="16">
        <v>0</v>
      </c>
      <c r="L334" s="16">
        <v>-28</v>
      </c>
      <c r="M334" s="16">
        <v>0</v>
      </c>
      <c r="N334" s="16">
        <v>0</v>
      </c>
      <c r="O334" s="16">
        <v>63</v>
      </c>
      <c r="P334" s="16">
        <v>0</v>
      </c>
      <c r="Q334" s="16">
        <v>4.5</v>
      </c>
      <c r="R334" s="16">
        <v>0</v>
      </c>
      <c r="S334" s="16">
        <v>0</v>
      </c>
      <c r="T334" s="16">
        <v>0</v>
      </c>
      <c r="U334" s="16">
        <v>0</v>
      </c>
      <c r="V334" s="16">
        <v>63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-3702</v>
      </c>
      <c r="AE334" s="16">
        <v>-3702</v>
      </c>
      <c r="AF334" s="16">
        <v>0</v>
      </c>
      <c r="AG334" s="16">
        <v>0</v>
      </c>
      <c r="AH334" s="16">
        <v>0</v>
      </c>
      <c r="AI334" s="16">
        <v>0</v>
      </c>
      <c r="AJ334" s="16">
        <v>0</v>
      </c>
      <c r="AK334" s="16">
        <v>0</v>
      </c>
      <c r="AL334" s="16">
        <v>0</v>
      </c>
      <c r="AM334" s="16">
        <v>0</v>
      </c>
      <c r="AN334" s="16">
        <v>0</v>
      </c>
      <c r="AO334" s="16">
        <v>0</v>
      </c>
      <c r="AP334" s="16">
        <v>0</v>
      </c>
      <c r="AQ334" s="5" t="s">
        <v>159</v>
      </c>
    </row>
    <row r="335" spans="1:43" x14ac:dyDescent="0.3">
      <c r="A335" s="9" t="s">
        <v>692</v>
      </c>
      <c r="B335" s="11" t="s">
        <v>691</v>
      </c>
      <c r="C335" s="16">
        <v>0</v>
      </c>
      <c r="D335" s="16">
        <v>0</v>
      </c>
      <c r="E335" s="16">
        <v>0</v>
      </c>
      <c r="F335" s="16">
        <v>0</v>
      </c>
      <c r="G335" s="16">
        <v>0</v>
      </c>
      <c r="H335" s="16">
        <v>0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 s="16">
        <v>30</v>
      </c>
      <c r="P335" s="16">
        <v>0</v>
      </c>
      <c r="Q335" s="16">
        <v>1</v>
      </c>
      <c r="R335" s="16">
        <v>0</v>
      </c>
      <c r="S335" s="16">
        <v>0</v>
      </c>
      <c r="T335" s="16">
        <v>0</v>
      </c>
      <c r="U335" s="16">
        <v>0</v>
      </c>
      <c r="V335" s="16">
        <v>30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  <c r="AG335" s="16">
        <v>0</v>
      </c>
      <c r="AH335" s="16">
        <v>0</v>
      </c>
      <c r="AI335" s="16">
        <v>0</v>
      </c>
      <c r="AJ335" s="16">
        <v>0</v>
      </c>
      <c r="AK335" s="16">
        <v>0</v>
      </c>
      <c r="AL335" s="16">
        <v>0</v>
      </c>
      <c r="AM335" s="16">
        <v>-3204</v>
      </c>
      <c r="AN335" s="16">
        <v>0</v>
      </c>
      <c r="AO335" s="16">
        <v>-3204</v>
      </c>
      <c r="AP335" s="16">
        <v>3204</v>
      </c>
      <c r="AQ335" s="5" t="s">
        <v>159</v>
      </c>
    </row>
    <row r="336" spans="1:43" x14ac:dyDescent="0.3">
      <c r="A336" s="9" t="s">
        <v>693</v>
      </c>
      <c r="B336" s="11" t="s">
        <v>691</v>
      </c>
      <c r="C336" s="16">
        <v>369</v>
      </c>
      <c r="D336" s="16">
        <v>202</v>
      </c>
      <c r="E336" s="16">
        <v>33</v>
      </c>
      <c r="F336" s="16">
        <v>47</v>
      </c>
      <c r="G336" s="16">
        <v>20</v>
      </c>
      <c r="H336" s="16">
        <v>1000</v>
      </c>
      <c r="I336" s="16">
        <v>0</v>
      </c>
      <c r="J336" s="16">
        <v>397</v>
      </c>
      <c r="K336" s="16">
        <v>0</v>
      </c>
      <c r="L336" s="16">
        <v>4</v>
      </c>
      <c r="M336" s="16">
        <v>0</v>
      </c>
      <c r="N336" s="16">
        <v>0</v>
      </c>
      <c r="O336" s="16">
        <v>16</v>
      </c>
      <c r="P336" s="16">
        <v>0</v>
      </c>
      <c r="Q336" s="16">
        <v>-2</v>
      </c>
      <c r="R336" s="16">
        <v>0</v>
      </c>
      <c r="S336" s="16">
        <v>0</v>
      </c>
      <c r="T336" s="16">
        <v>0</v>
      </c>
      <c r="U336" s="16">
        <v>0</v>
      </c>
      <c r="V336" s="16">
        <v>16</v>
      </c>
      <c r="W336" s="16">
        <v>469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101</v>
      </c>
      <c r="AD336" s="16">
        <v>1397</v>
      </c>
      <c r="AE336" s="16">
        <v>1397</v>
      </c>
      <c r="AF336" s="16">
        <v>772</v>
      </c>
      <c r="AG336" s="16">
        <v>56</v>
      </c>
      <c r="AH336" s="16">
        <v>0</v>
      </c>
      <c r="AI336" s="16">
        <v>0</v>
      </c>
      <c r="AJ336" s="16">
        <v>0</v>
      </c>
      <c r="AK336" s="16">
        <v>0</v>
      </c>
      <c r="AL336" s="16">
        <v>0</v>
      </c>
      <c r="AM336" s="16">
        <v>-2403</v>
      </c>
      <c r="AN336" s="16">
        <v>0</v>
      </c>
      <c r="AO336" s="16">
        <v>-2347</v>
      </c>
      <c r="AP336" s="16">
        <v>3119</v>
      </c>
      <c r="AQ336" s="5" t="s">
        <v>159</v>
      </c>
    </row>
    <row r="337" spans="1:43" x14ac:dyDescent="0.3">
      <c r="A337" s="9" t="s">
        <v>695</v>
      </c>
      <c r="B337" s="11" t="s">
        <v>694</v>
      </c>
      <c r="C337" s="16">
        <v>0</v>
      </c>
      <c r="D337" s="16">
        <v>0</v>
      </c>
      <c r="E337" s="16">
        <v>0</v>
      </c>
      <c r="F337" s="16">
        <v>0</v>
      </c>
      <c r="G337" s="16">
        <v>0</v>
      </c>
      <c r="H337" s="16">
        <v>0</v>
      </c>
      <c r="I337" s="16">
        <v>-28.92</v>
      </c>
      <c r="J337" s="16">
        <v>682</v>
      </c>
      <c r="K337" s="16">
        <v>0</v>
      </c>
      <c r="L337" s="16">
        <v>4</v>
      </c>
      <c r="M337" s="16">
        <v>0</v>
      </c>
      <c r="N337" s="16">
        <v>0</v>
      </c>
      <c r="O337" s="16">
        <v>202</v>
      </c>
      <c r="P337" s="16">
        <v>0</v>
      </c>
      <c r="Q337" s="16">
        <v>10</v>
      </c>
      <c r="R337" s="16">
        <v>0</v>
      </c>
      <c r="S337" s="16">
        <v>0</v>
      </c>
      <c r="T337" s="16">
        <v>0</v>
      </c>
      <c r="U337" s="16">
        <v>0</v>
      </c>
      <c r="V337" s="16">
        <v>202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653</v>
      </c>
      <c r="AE337" s="16">
        <v>653</v>
      </c>
      <c r="AF337" s="16">
        <v>0</v>
      </c>
      <c r="AG337" s="16">
        <v>0</v>
      </c>
      <c r="AH337" s="16">
        <v>0</v>
      </c>
      <c r="AI337" s="16">
        <v>0</v>
      </c>
      <c r="AJ337" s="16">
        <v>0</v>
      </c>
      <c r="AK337" s="16">
        <v>0</v>
      </c>
      <c r="AL337" s="16">
        <v>0</v>
      </c>
      <c r="AM337" s="16">
        <v>-801</v>
      </c>
      <c r="AN337" s="16">
        <v>0</v>
      </c>
      <c r="AO337" s="16">
        <v>-801</v>
      </c>
      <c r="AP337" s="16">
        <v>801</v>
      </c>
      <c r="AQ337" s="5" t="s">
        <v>159</v>
      </c>
    </row>
    <row r="338" spans="1:43" x14ac:dyDescent="0.3">
      <c r="A338" s="9" t="s">
        <v>697</v>
      </c>
      <c r="B338" s="11" t="s">
        <v>696</v>
      </c>
      <c r="C338" s="16">
        <v>0</v>
      </c>
      <c r="D338" s="16">
        <v>0</v>
      </c>
      <c r="E338" s="16">
        <v>0</v>
      </c>
      <c r="F338" s="16">
        <v>0</v>
      </c>
      <c r="G338" s="16">
        <v>0</v>
      </c>
      <c r="H338" s="16">
        <v>0</v>
      </c>
      <c r="I338" s="16">
        <v>-807.77</v>
      </c>
      <c r="J338" s="16">
        <v>0</v>
      </c>
      <c r="K338" s="16">
        <v>0</v>
      </c>
      <c r="L338" s="16">
        <v>0</v>
      </c>
      <c r="M338" s="16">
        <v>0</v>
      </c>
      <c r="N338" s="16">
        <v>-1000</v>
      </c>
      <c r="O338" s="16">
        <v>101</v>
      </c>
      <c r="P338" s="16">
        <v>0</v>
      </c>
      <c r="Q338" s="16">
        <v>9</v>
      </c>
      <c r="R338" s="16">
        <v>0</v>
      </c>
      <c r="S338" s="16">
        <v>0</v>
      </c>
      <c r="T338" s="16">
        <v>0</v>
      </c>
      <c r="U338" s="16">
        <v>0</v>
      </c>
      <c r="V338" s="16">
        <v>101</v>
      </c>
      <c r="W338" s="16">
        <v>0</v>
      </c>
      <c r="X338" s="16">
        <v>-1000</v>
      </c>
      <c r="Y338" s="16">
        <v>-7.5</v>
      </c>
      <c r="Z338" s="16">
        <v>-32.5</v>
      </c>
      <c r="AA338" s="16">
        <v>-967.5</v>
      </c>
      <c r="AB338" s="16">
        <v>0</v>
      </c>
      <c r="AC338" s="16">
        <v>0</v>
      </c>
      <c r="AD338" s="16">
        <v>-1808</v>
      </c>
      <c r="AE338" s="16">
        <v>-1808</v>
      </c>
      <c r="AF338" s="16">
        <v>0</v>
      </c>
      <c r="AG338" s="16">
        <v>0</v>
      </c>
      <c r="AH338" s="16">
        <v>0</v>
      </c>
      <c r="AI338" s="16">
        <v>0</v>
      </c>
      <c r="AJ338" s="16">
        <v>0</v>
      </c>
      <c r="AK338" s="16">
        <v>0</v>
      </c>
      <c r="AL338" s="16">
        <v>0</v>
      </c>
      <c r="AM338" s="16">
        <v>-2403</v>
      </c>
      <c r="AN338" s="16">
        <v>0</v>
      </c>
      <c r="AO338" s="16">
        <v>-2403</v>
      </c>
      <c r="AP338" s="16">
        <v>2403</v>
      </c>
      <c r="AQ338" s="5" t="s">
        <v>159</v>
      </c>
    </row>
    <row r="339" spans="1:43" x14ac:dyDescent="0.3">
      <c r="A339" s="9" t="s">
        <v>699</v>
      </c>
      <c r="B339" s="11" t="s">
        <v>698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1000</v>
      </c>
      <c r="I339" s="16">
        <v>499.54</v>
      </c>
      <c r="J339" s="16">
        <v>1766</v>
      </c>
      <c r="K339" s="16">
        <v>0</v>
      </c>
      <c r="L339" s="16">
        <v>16</v>
      </c>
      <c r="M339" s="16">
        <v>0</v>
      </c>
      <c r="N339" s="16">
        <v>0</v>
      </c>
      <c r="O339" s="16">
        <v>114</v>
      </c>
      <c r="P339" s="16">
        <v>0</v>
      </c>
      <c r="Q339" s="16">
        <v>9</v>
      </c>
      <c r="R339" s="16">
        <v>0</v>
      </c>
      <c r="S339" s="16">
        <v>0</v>
      </c>
      <c r="T339" s="16">
        <v>0</v>
      </c>
      <c r="U339" s="16">
        <v>0</v>
      </c>
      <c r="V339" s="16">
        <v>114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3266</v>
      </c>
      <c r="AE339" s="16">
        <v>3266</v>
      </c>
      <c r="AF339" s="16">
        <v>0</v>
      </c>
      <c r="AG339" s="16">
        <v>0</v>
      </c>
      <c r="AH339" s="16">
        <v>0</v>
      </c>
      <c r="AI339" s="16">
        <v>0</v>
      </c>
      <c r="AJ339" s="16">
        <v>0</v>
      </c>
      <c r="AK339" s="16">
        <v>0</v>
      </c>
      <c r="AL339" s="16">
        <v>0</v>
      </c>
      <c r="AM339" s="16">
        <v>-2403</v>
      </c>
      <c r="AN339" s="16">
        <v>0</v>
      </c>
      <c r="AO339" s="16">
        <v>-2403</v>
      </c>
      <c r="AP339" s="16">
        <v>2403</v>
      </c>
      <c r="AQ339" s="5" t="s">
        <v>159</v>
      </c>
    </row>
    <row r="340" spans="1:43" x14ac:dyDescent="0.3">
      <c r="A340" s="9" t="s">
        <v>701</v>
      </c>
      <c r="B340" s="11" t="s">
        <v>700</v>
      </c>
      <c r="C340" s="16">
        <v>0</v>
      </c>
      <c r="D340" s="16">
        <v>0</v>
      </c>
      <c r="E340" s="16">
        <v>0</v>
      </c>
      <c r="F340" s="16">
        <v>0</v>
      </c>
      <c r="G340" s="16">
        <v>0</v>
      </c>
      <c r="H340" s="16">
        <v>1000</v>
      </c>
      <c r="I340" s="16">
        <v>192.15</v>
      </c>
      <c r="J340" s="16">
        <v>6981</v>
      </c>
      <c r="K340" s="16">
        <v>0</v>
      </c>
      <c r="L340" s="16">
        <v>44</v>
      </c>
      <c r="M340" s="16">
        <v>0</v>
      </c>
      <c r="N340" s="16">
        <v>0</v>
      </c>
      <c r="O340" s="16">
        <v>269</v>
      </c>
      <c r="P340" s="16">
        <v>0</v>
      </c>
      <c r="Q340" s="16">
        <v>15</v>
      </c>
      <c r="R340" s="16">
        <v>0</v>
      </c>
      <c r="S340" s="16">
        <v>0</v>
      </c>
      <c r="T340" s="16">
        <v>0</v>
      </c>
      <c r="U340" s="16">
        <v>0</v>
      </c>
      <c r="V340" s="16">
        <v>269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8173</v>
      </c>
      <c r="AE340" s="16">
        <v>8173</v>
      </c>
      <c r="AF340" s="16">
        <v>0</v>
      </c>
      <c r="AG340" s="16">
        <v>0</v>
      </c>
      <c r="AH340" s="16">
        <v>0</v>
      </c>
      <c r="AI340" s="16">
        <v>0</v>
      </c>
      <c r="AJ340" s="16">
        <v>0</v>
      </c>
      <c r="AK340" s="16">
        <v>0</v>
      </c>
      <c r="AL340" s="16">
        <v>0</v>
      </c>
      <c r="AM340" s="16">
        <v>-2403</v>
      </c>
      <c r="AN340" s="16">
        <v>0</v>
      </c>
      <c r="AO340" s="16">
        <v>-2403</v>
      </c>
      <c r="AP340" s="16">
        <v>2403</v>
      </c>
      <c r="AQ340" s="5" t="s">
        <v>159</v>
      </c>
    </row>
    <row r="341" spans="1:43" x14ac:dyDescent="0.3">
      <c r="A341" s="9" t="s">
        <v>703</v>
      </c>
      <c r="B341" s="11" t="s">
        <v>702</v>
      </c>
      <c r="C341" s="16">
        <v>0</v>
      </c>
      <c r="D341" s="16">
        <v>0</v>
      </c>
      <c r="E341" s="16">
        <v>0</v>
      </c>
      <c r="F341" s="16">
        <v>0</v>
      </c>
      <c r="G341" s="16">
        <v>0</v>
      </c>
      <c r="H341" s="16">
        <v>-1000</v>
      </c>
      <c r="I341" s="16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6">
        <v>1</v>
      </c>
      <c r="P341" s="16">
        <v>0</v>
      </c>
      <c r="Q341" s="16">
        <v>0.1</v>
      </c>
      <c r="R341" s="16">
        <v>-8</v>
      </c>
      <c r="S341" s="16">
        <v>-33</v>
      </c>
      <c r="T341" s="16">
        <v>0</v>
      </c>
      <c r="U341" s="16">
        <v>0</v>
      </c>
      <c r="V341" s="16">
        <v>1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-1000</v>
      </c>
      <c r="AE341" s="16">
        <v>-992</v>
      </c>
      <c r="AF341" s="16">
        <v>0</v>
      </c>
      <c r="AG341" s="16">
        <v>0</v>
      </c>
      <c r="AH341" s="16">
        <v>0</v>
      </c>
      <c r="AI341" s="16">
        <v>0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>
        <v>0</v>
      </c>
      <c r="AP341" s="16">
        <v>0</v>
      </c>
      <c r="AQ341" s="5" t="s">
        <v>159</v>
      </c>
    </row>
    <row r="342" spans="1:43" x14ac:dyDescent="0.3">
      <c r="A342" s="9" t="s">
        <v>705</v>
      </c>
      <c r="B342" s="11" t="s">
        <v>704</v>
      </c>
      <c r="C342" s="16">
        <v>0</v>
      </c>
      <c r="D342" s="16">
        <v>0</v>
      </c>
      <c r="E342" s="16">
        <v>0</v>
      </c>
      <c r="F342" s="16">
        <v>0</v>
      </c>
      <c r="G342" s="16">
        <v>0</v>
      </c>
      <c r="H342" s="16">
        <v>-1000</v>
      </c>
      <c r="I342" s="16">
        <v>38.380000000000003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6">
        <v>99</v>
      </c>
      <c r="P342" s="16">
        <v>0</v>
      </c>
      <c r="Q342" s="16">
        <v>9</v>
      </c>
      <c r="R342" s="16">
        <v>0</v>
      </c>
      <c r="S342" s="16">
        <v>0</v>
      </c>
      <c r="T342" s="16">
        <v>0</v>
      </c>
      <c r="U342" s="16">
        <v>0</v>
      </c>
      <c r="V342" s="16">
        <v>99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-962</v>
      </c>
      <c r="AE342" s="16">
        <v>-962</v>
      </c>
      <c r="AF342" s="16">
        <v>0</v>
      </c>
      <c r="AG342" s="16">
        <v>0</v>
      </c>
      <c r="AH342" s="16">
        <v>0</v>
      </c>
      <c r="AI342" s="16">
        <v>0</v>
      </c>
      <c r="AJ342" s="16">
        <v>0</v>
      </c>
      <c r="AK342" s="16">
        <v>0</v>
      </c>
      <c r="AL342" s="16">
        <v>0</v>
      </c>
      <c r="AM342" s="16">
        <v>-1602</v>
      </c>
      <c r="AN342" s="16">
        <v>0</v>
      </c>
      <c r="AO342" s="16">
        <v>-1602</v>
      </c>
      <c r="AP342" s="16">
        <v>1602</v>
      </c>
      <c r="AQ342" s="5" t="s">
        <v>159</v>
      </c>
    </row>
    <row r="343" spans="1:43" x14ac:dyDescent="0.3">
      <c r="A343" s="9" t="s">
        <v>707</v>
      </c>
      <c r="B343" s="11" t="s">
        <v>706</v>
      </c>
      <c r="C343" s="16">
        <v>0</v>
      </c>
      <c r="D343" s="16">
        <v>0</v>
      </c>
      <c r="E343" s="16">
        <v>0</v>
      </c>
      <c r="F343" s="16">
        <v>0</v>
      </c>
      <c r="G343" s="16">
        <v>0</v>
      </c>
      <c r="H343" s="16">
        <v>0</v>
      </c>
      <c r="I343" s="16">
        <v>0</v>
      </c>
      <c r="J343" s="16">
        <v>5889</v>
      </c>
      <c r="K343" s="16">
        <v>0</v>
      </c>
      <c r="L343" s="16">
        <v>35</v>
      </c>
      <c r="M343" s="16">
        <v>0</v>
      </c>
      <c r="N343" s="16">
        <v>0</v>
      </c>
      <c r="O343" s="16">
        <v>59</v>
      </c>
      <c r="P343" s="16">
        <v>1000</v>
      </c>
      <c r="Q343" s="16">
        <v>2.5</v>
      </c>
      <c r="R343" s="16">
        <v>0</v>
      </c>
      <c r="S343" s="16">
        <v>0</v>
      </c>
      <c r="T343" s="16">
        <v>0</v>
      </c>
      <c r="U343" s="16">
        <v>0</v>
      </c>
      <c r="V343" s="16">
        <v>59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6889</v>
      </c>
      <c r="AE343" s="16">
        <v>6889</v>
      </c>
      <c r="AF343" s="16">
        <v>0</v>
      </c>
      <c r="AG343" s="16">
        <v>0</v>
      </c>
      <c r="AH343" s="16">
        <v>0</v>
      </c>
      <c r="AI343" s="16">
        <v>0</v>
      </c>
      <c r="AJ343" s="16">
        <v>0</v>
      </c>
      <c r="AK343" s="16">
        <v>0</v>
      </c>
      <c r="AL343" s="16">
        <v>0</v>
      </c>
      <c r="AM343" s="16">
        <v>-3204</v>
      </c>
      <c r="AN343" s="16">
        <v>0</v>
      </c>
      <c r="AO343" s="16">
        <v>-3204</v>
      </c>
      <c r="AP343" s="16">
        <v>3204</v>
      </c>
      <c r="AQ343" s="5" t="s">
        <v>159</v>
      </c>
    </row>
    <row r="344" spans="1:43" x14ac:dyDescent="0.3">
      <c r="A344" s="9" t="s">
        <v>709</v>
      </c>
      <c r="B344" s="11" t="s">
        <v>708</v>
      </c>
      <c r="C344" s="16">
        <v>0</v>
      </c>
      <c r="D344" s="16">
        <v>0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4016</v>
      </c>
      <c r="K344" s="16">
        <v>0</v>
      </c>
      <c r="L344" s="16">
        <v>34</v>
      </c>
      <c r="M344" s="16">
        <v>0</v>
      </c>
      <c r="N344" s="16">
        <v>1000</v>
      </c>
      <c r="O344" s="16">
        <v>-481</v>
      </c>
      <c r="P344" s="16">
        <v>0</v>
      </c>
      <c r="Q344" s="16">
        <v>-32.5</v>
      </c>
      <c r="R344" s="16">
        <v>0</v>
      </c>
      <c r="S344" s="16">
        <v>0</v>
      </c>
      <c r="T344" s="16">
        <v>0</v>
      </c>
      <c r="U344" s="16">
        <v>0</v>
      </c>
      <c r="V344" s="16">
        <v>-481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5016</v>
      </c>
      <c r="AE344" s="16">
        <v>5016</v>
      </c>
      <c r="AF344" s="16">
        <v>0</v>
      </c>
      <c r="AG344" s="16">
        <v>0</v>
      </c>
      <c r="AH344" s="16">
        <v>0</v>
      </c>
      <c r="AI344" s="16">
        <v>0</v>
      </c>
      <c r="AJ344" s="16">
        <v>0</v>
      </c>
      <c r="AK344" s="16">
        <v>0</v>
      </c>
      <c r="AL344" s="16">
        <v>0</v>
      </c>
      <c r="AM344" s="16">
        <v>-3204</v>
      </c>
      <c r="AN344" s="16">
        <v>0</v>
      </c>
      <c r="AO344" s="16">
        <v>-3204</v>
      </c>
      <c r="AP344" s="16">
        <v>3204</v>
      </c>
      <c r="AQ344" s="5" t="s">
        <v>159</v>
      </c>
    </row>
    <row r="345" spans="1:43" x14ac:dyDescent="0.3">
      <c r="A345" s="9" t="s">
        <v>711</v>
      </c>
      <c r="B345" s="11" t="s">
        <v>710</v>
      </c>
      <c r="C345" s="16">
        <v>0</v>
      </c>
      <c r="D345" s="16">
        <v>0</v>
      </c>
      <c r="E345" s="16">
        <v>0</v>
      </c>
      <c r="F345" s="16">
        <v>0</v>
      </c>
      <c r="G345" s="16">
        <v>0</v>
      </c>
      <c r="H345" s="16">
        <v>0</v>
      </c>
      <c r="I345" s="16">
        <v>-9.31</v>
      </c>
      <c r="J345" s="16">
        <v>-2904</v>
      </c>
      <c r="K345" s="16">
        <v>0</v>
      </c>
      <c r="L345" s="16">
        <v>-28</v>
      </c>
      <c r="M345" s="16">
        <v>0</v>
      </c>
      <c r="N345" s="16">
        <v>0</v>
      </c>
      <c r="O345" s="16">
        <v>-157</v>
      </c>
      <c r="P345" s="16">
        <v>-1000</v>
      </c>
      <c r="Q345" s="16">
        <v>-16</v>
      </c>
      <c r="R345" s="16">
        <v>-29</v>
      </c>
      <c r="S345" s="16">
        <v>-127</v>
      </c>
      <c r="T345" s="16">
        <v>-1</v>
      </c>
      <c r="U345" s="16">
        <v>-5</v>
      </c>
      <c r="V345" s="16">
        <v>-156</v>
      </c>
      <c r="W345" s="16">
        <v>0</v>
      </c>
      <c r="X345" s="16">
        <v>-1000</v>
      </c>
      <c r="Y345" s="16">
        <v>-7.5</v>
      </c>
      <c r="Z345" s="16">
        <v>-32.5</v>
      </c>
      <c r="AA345" s="16">
        <v>-967.5</v>
      </c>
      <c r="AB345" s="16">
        <v>0</v>
      </c>
      <c r="AC345" s="16">
        <v>0</v>
      </c>
      <c r="AD345" s="16">
        <v>-3913</v>
      </c>
      <c r="AE345" s="16">
        <v>-3884</v>
      </c>
      <c r="AF345" s="16">
        <v>0</v>
      </c>
      <c r="AG345" s="16">
        <v>0</v>
      </c>
      <c r="AH345" s="16">
        <v>0</v>
      </c>
      <c r="AI345" s="16">
        <v>0</v>
      </c>
      <c r="AJ345" s="16">
        <v>0</v>
      </c>
      <c r="AK345" s="16">
        <v>0</v>
      </c>
      <c r="AL345" s="16">
        <v>0</v>
      </c>
      <c r="AM345" s="16">
        <v>0</v>
      </c>
      <c r="AN345" s="16">
        <v>0</v>
      </c>
      <c r="AO345" s="16">
        <v>0</v>
      </c>
      <c r="AP345" s="16">
        <v>0</v>
      </c>
      <c r="AQ345" s="5" t="s">
        <v>159</v>
      </c>
    </row>
    <row r="346" spans="1:43" x14ac:dyDescent="0.3">
      <c r="A346" s="9" t="s">
        <v>713</v>
      </c>
      <c r="B346" s="11" t="s">
        <v>712</v>
      </c>
      <c r="C346" s="16">
        <v>10623</v>
      </c>
      <c r="D346" s="16">
        <v>5794</v>
      </c>
      <c r="E346" s="16">
        <v>966</v>
      </c>
      <c r="F346" s="16">
        <v>1352</v>
      </c>
      <c r="G346" s="16">
        <v>579</v>
      </c>
      <c r="H346" s="16">
        <v>0</v>
      </c>
      <c r="I346" s="16">
        <v>0</v>
      </c>
      <c r="J346" s="16">
        <v>0</v>
      </c>
      <c r="K346" s="16">
        <v>19314</v>
      </c>
      <c r="L346" s="16">
        <v>0</v>
      </c>
      <c r="M346" s="16">
        <v>0</v>
      </c>
      <c r="N346" s="16">
        <v>0</v>
      </c>
      <c r="O346" s="16">
        <v>880</v>
      </c>
      <c r="P346" s="16">
        <v>0</v>
      </c>
      <c r="Q346" s="16">
        <v>15</v>
      </c>
      <c r="R346" s="16">
        <v>0</v>
      </c>
      <c r="S346" s="16">
        <v>0</v>
      </c>
      <c r="T346" s="16">
        <v>7</v>
      </c>
      <c r="U346" s="16">
        <v>28</v>
      </c>
      <c r="V346" s="16">
        <v>873</v>
      </c>
      <c r="W346" s="16">
        <v>13520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0</v>
      </c>
      <c r="AF346" s="16">
        <v>19314</v>
      </c>
      <c r="AG346" s="16">
        <v>1622</v>
      </c>
      <c r="AH346" s="16">
        <v>144</v>
      </c>
      <c r="AI346" s="16">
        <v>208</v>
      </c>
      <c r="AJ346" s="16">
        <v>0</v>
      </c>
      <c r="AK346" s="16">
        <v>557</v>
      </c>
      <c r="AL346" s="16">
        <v>0</v>
      </c>
      <c r="AM346" s="16">
        <v>0</v>
      </c>
      <c r="AN346" s="16">
        <v>0</v>
      </c>
      <c r="AO346" s="16">
        <v>2531</v>
      </c>
      <c r="AP346" s="16">
        <v>16783</v>
      </c>
      <c r="AQ346" s="5" t="s">
        <v>159</v>
      </c>
    </row>
    <row r="347" spans="1:43" x14ac:dyDescent="0.3">
      <c r="A347" s="9" t="s">
        <v>715</v>
      </c>
      <c r="B347" s="11" t="s">
        <v>714</v>
      </c>
      <c r="C347" s="16">
        <v>-1523</v>
      </c>
      <c r="D347" s="16">
        <v>-830</v>
      </c>
      <c r="E347" s="16">
        <v>-139</v>
      </c>
      <c r="F347" s="16">
        <v>-194</v>
      </c>
      <c r="G347" s="16">
        <v>-84</v>
      </c>
      <c r="H347" s="16">
        <v>0</v>
      </c>
      <c r="I347" s="16">
        <v>-153.62</v>
      </c>
      <c r="J347" s="16">
        <v>-3119</v>
      </c>
      <c r="K347" s="16">
        <v>0</v>
      </c>
      <c r="L347" s="16">
        <v>-27.5</v>
      </c>
      <c r="M347" s="16">
        <v>0</v>
      </c>
      <c r="N347" s="16">
        <v>0</v>
      </c>
      <c r="O347" s="16">
        <v>-344</v>
      </c>
      <c r="P347" s="16">
        <v>0</v>
      </c>
      <c r="Q347" s="16">
        <v>-15</v>
      </c>
      <c r="R347" s="16">
        <v>0</v>
      </c>
      <c r="S347" s="16">
        <v>0</v>
      </c>
      <c r="T347" s="16">
        <v>0</v>
      </c>
      <c r="U347" s="16">
        <v>0</v>
      </c>
      <c r="V347" s="16">
        <v>-344</v>
      </c>
      <c r="W347" s="16">
        <v>-1923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  <c r="AC347" s="16">
        <v>-924</v>
      </c>
      <c r="AD347" s="16">
        <v>-3273</v>
      </c>
      <c r="AE347" s="16">
        <v>-3273</v>
      </c>
      <c r="AF347" s="16">
        <v>-3694</v>
      </c>
      <c r="AG347" s="16">
        <v>-231</v>
      </c>
      <c r="AH347" s="16">
        <v>0</v>
      </c>
      <c r="AI347" s="16">
        <v>0</v>
      </c>
      <c r="AJ347" s="16">
        <v>0</v>
      </c>
      <c r="AK347" s="16">
        <v>-77</v>
      </c>
      <c r="AL347" s="16">
        <v>0</v>
      </c>
      <c r="AM347" s="16">
        <v>-1602</v>
      </c>
      <c r="AN347" s="16">
        <v>0</v>
      </c>
      <c r="AO347" s="16">
        <v>-1910</v>
      </c>
      <c r="AP347" s="16">
        <v>-1784</v>
      </c>
      <c r="AQ347" s="5" t="s">
        <v>159</v>
      </c>
    </row>
    <row r="348" spans="1:43" x14ac:dyDescent="0.3">
      <c r="A348" s="9" t="s">
        <v>717</v>
      </c>
      <c r="B348" s="11" t="s">
        <v>716</v>
      </c>
      <c r="C348" s="16">
        <v>-7281</v>
      </c>
      <c r="D348" s="16">
        <v>-3972</v>
      </c>
      <c r="E348" s="16">
        <v>-662</v>
      </c>
      <c r="F348" s="16">
        <v>-927</v>
      </c>
      <c r="G348" s="16">
        <v>-397</v>
      </c>
      <c r="H348" s="16">
        <v>0</v>
      </c>
      <c r="I348" s="16">
        <v>-692.15</v>
      </c>
      <c r="J348" s="16">
        <v>-853</v>
      </c>
      <c r="K348" s="16">
        <v>-13239</v>
      </c>
      <c r="L348" s="16">
        <v>-8</v>
      </c>
      <c r="M348" s="16">
        <v>0</v>
      </c>
      <c r="N348" s="16">
        <v>0</v>
      </c>
      <c r="O348" s="16">
        <v>-490</v>
      </c>
      <c r="P348" s="16">
        <v>0</v>
      </c>
      <c r="Q348" s="16">
        <v>17.5</v>
      </c>
      <c r="R348" s="16">
        <v>-12</v>
      </c>
      <c r="S348" s="16">
        <v>-50</v>
      </c>
      <c r="T348" s="16">
        <v>-4</v>
      </c>
      <c r="U348" s="16">
        <v>-16</v>
      </c>
      <c r="V348" s="16">
        <v>-486</v>
      </c>
      <c r="W348" s="16">
        <v>-9267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-1545</v>
      </c>
      <c r="AE348" s="16">
        <v>-1533</v>
      </c>
      <c r="AF348" s="16">
        <v>-13239</v>
      </c>
      <c r="AG348" s="16">
        <v>-1112</v>
      </c>
      <c r="AH348" s="16">
        <v>-99</v>
      </c>
      <c r="AI348" s="16">
        <v>-208</v>
      </c>
      <c r="AJ348" s="16">
        <v>0</v>
      </c>
      <c r="AK348" s="16">
        <v>-394</v>
      </c>
      <c r="AL348" s="16">
        <v>0</v>
      </c>
      <c r="AM348" s="16">
        <v>0</v>
      </c>
      <c r="AN348" s="16">
        <v>0</v>
      </c>
      <c r="AO348" s="16">
        <v>-1813</v>
      </c>
      <c r="AP348" s="16">
        <v>-11426</v>
      </c>
      <c r="AQ348" s="5" t="s">
        <v>159</v>
      </c>
    </row>
    <row r="349" spans="1:43" x14ac:dyDescent="0.3">
      <c r="A349" s="9" t="s">
        <v>719</v>
      </c>
      <c r="B349" s="11" t="s">
        <v>718</v>
      </c>
      <c r="C349" s="16">
        <v>0</v>
      </c>
      <c r="D349" s="16">
        <v>0</v>
      </c>
      <c r="E349" s="16">
        <v>0</v>
      </c>
      <c r="F349" s="16">
        <v>0</v>
      </c>
      <c r="G349" s="16">
        <v>0</v>
      </c>
      <c r="H349" s="16">
        <v>0</v>
      </c>
      <c r="I349" s="16">
        <v>384.62</v>
      </c>
      <c r="J349" s="16">
        <v>3748</v>
      </c>
      <c r="K349" s="16">
        <v>0</v>
      </c>
      <c r="L349" s="16">
        <v>28</v>
      </c>
      <c r="M349" s="16">
        <v>0</v>
      </c>
      <c r="N349" s="16">
        <v>0</v>
      </c>
      <c r="O349" s="16">
        <v>76</v>
      </c>
      <c r="P349" s="16">
        <v>0</v>
      </c>
      <c r="Q349" s="16">
        <v>5</v>
      </c>
      <c r="R349" s="16">
        <v>0</v>
      </c>
      <c r="S349" s="16">
        <v>0</v>
      </c>
      <c r="T349" s="16">
        <v>0</v>
      </c>
      <c r="U349" s="16">
        <v>0</v>
      </c>
      <c r="V349" s="16">
        <v>76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  <c r="AC349" s="16">
        <v>0</v>
      </c>
      <c r="AD349" s="16">
        <v>4133</v>
      </c>
      <c r="AE349" s="16">
        <v>4133</v>
      </c>
      <c r="AF349" s="16">
        <v>0</v>
      </c>
      <c r="AG349" s="16">
        <v>0</v>
      </c>
      <c r="AH349" s="16">
        <v>0</v>
      </c>
      <c r="AI349" s="16">
        <v>0</v>
      </c>
      <c r="AJ349" s="16">
        <v>0</v>
      </c>
      <c r="AK349" s="16">
        <v>0</v>
      </c>
      <c r="AL349" s="16">
        <v>0</v>
      </c>
      <c r="AM349" s="16">
        <v>-801</v>
      </c>
      <c r="AN349" s="16">
        <v>0</v>
      </c>
      <c r="AO349" s="16">
        <v>-801</v>
      </c>
      <c r="AP349" s="16">
        <v>801</v>
      </c>
      <c r="AQ349" s="5" t="s">
        <v>159</v>
      </c>
    </row>
    <row r="350" spans="1:43" x14ac:dyDescent="0.3">
      <c r="A350" s="9" t="s">
        <v>721</v>
      </c>
      <c r="B350" s="11" t="s">
        <v>720</v>
      </c>
      <c r="C350" s="16">
        <v>-666</v>
      </c>
      <c r="D350" s="16">
        <v>-364</v>
      </c>
      <c r="E350" s="16">
        <v>-60</v>
      </c>
      <c r="F350" s="16">
        <v>-85</v>
      </c>
      <c r="G350" s="16">
        <v>-37</v>
      </c>
      <c r="H350" s="16">
        <v>0</v>
      </c>
      <c r="I350" s="16">
        <v>-384.31</v>
      </c>
      <c r="J350" s="16">
        <v>-199</v>
      </c>
      <c r="K350" s="16">
        <v>0</v>
      </c>
      <c r="L350" s="16">
        <v>-2</v>
      </c>
      <c r="M350" s="16">
        <v>0</v>
      </c>
      <c r="N350" s="16">
        <v>-500</v>
      </c>
      <c r="O350" s="16">
        <v>17</v>
      </c>
      <c r="P350" s="16">
        <v>0</v>
      </c>
      <c r="Q350" s="16">
        <v>7.5</v>
      </c>
      <c r="R350" s="16">
        <v>0</v>
      </c>
      <c r="S350" s="16">
        <v>0</v>
      </c>
      <c r="T350" s="16">
        <v>0</v>
      </c>
      <c r="U350" s="16">
        <v>0</v>
      </c>
      <c r="V350" s="16">
        <v>17</v>
      </c>
      <c r="W350" s="16">
        <v>-848</v>
      </c>
      <c r="X350" s="16">
        <v>-500</v>
      </c>
      <c r="Y350" s="16">
        <v>-3.75</v>
      </c>
      <c r="Z350" s="16">
        <v>-16.25</v>
      </c>
      <c r="AA350" s="16">
        <v>-483.75</v>
      </c>
      <c r="AB350" s="16">
        <v>0</v>
      </c>
      <c r="AC350" s="16">
        <v>-182</v>
      </c>
      <c r="AD350" s="16">
        <v>-1083</v>
      </c>
      <c r="AE350" s="16">
        <v>-1083</v>
      </c>
      <c r="AF350" s="16">
        <v>-1394</v>
      </c>
      <c r="AG350" s="16">
        <v>-102</v>
      </c>
      <c r="AH350" s="16">
        <v>0</v>
      </c>
      <c r="AI350" s="16">
        <v>0</v>
      </c>
      <c r="AJ350" s="16">
        <v>0</v>
      </c>
      <c r="AK350" s="16">
        <v>-39</v>
      </c>
      <c r="AL350" s="16">
        <v>0</v>
      </c>
      <c r="AM350" s="16">
        <v>-2403</v>
      </c>
      <c r="AN350" s="16">
        <v>0</v>
      </c>
      <c r="AO350" s="16">
        <v>-2544</v>
      </c>
      <c r="AP350" s="16">
        <v>1150</v>
      </c>
      <c r="AQ350" s="5" t="s">
        <v>159</v>
      </c>
    </row>
    <row r="351" spans="1:43" x14ac:dyDescent="0.3">
      <c r="A351" s="9" t="s">
        <v>723</v>
      </c>
      <c r="B351" s="11" t="s">
        <v>722</v>
      </c>
      <c r="C351" s="16">
        <v>0</v>
      </c>
      <c r="D351" s="16">
        <v>0</v>
      </c>
      <c r="E351" s="16">
        <v>0</v>
      </c>
      <c r="F351" s="16">
        <v>0</v>
      </c>
      <c r="G351" s="16">
        <v>0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6">
        <v>-20</v>
      </c>
      <c r="P351" s="16">
        <v>0</v>
      </c>
      <c r="Q351" s="16">
        <v>-0.5</v>
      </c>
      <c r="R351" s="16">
        <v>0</v>
      </c>
      <c r="S351" s="16">
        <v>0</v>
      </c>
      <c r="T351" s="16">
        <v>0</v>
      </c>
      <c r="U351" s="16">
        <v>0</v>
      </c>
      <c r="V351" s="16">
        <v>-20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0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16">
        <v>0</v>
      </c>
      <c r="AL351" s="16">
        <v>0</v>
      </c>
      <c r="AM351" s="16">
        <v>-4005</v>
      </c>
      <c r="AN351" s="16">
        <v>0</v>
      </c>
      <c r="AO351" s="16">
        <v>-4005</v>
      </c>
      <c r="AP351" s="16">
        <v>4005</v>
      </c>
      <c r="AQ351" s="5" t="s">
        <v>159</v>
      </c>
    </row>
    <row r="352" spans="1:43" x14ac:dyDescent="0.3">
      <c r="A352" s="9" t="s">
        <v>725</v>
      </c>
      <c r="B352" s="11" t="s">
        <v>724</v>
      </c>
      <c r="C352" s="16">
        <v>0</v>
      </c>
      <c r="D352" s="16">
        <v>0</v>
      </c>
      <c r="E352" s="16">
        <v>0</v>
      </c>
      <c r="F352" s="16">
        <v>0</v>
      </c>
      <c r="G352" s="16">
        <v>0</v>
      </c>
      <c r="H352" s="16">
        <v>0</v>
      </c>
      <c r="I352" s="16">
        <v>0</v>
      </c>
      <c r="J352" s="16">
        <v>0</v>
      </c>
      <c r="K352" s="16">
        <v>0</v>
      </c>
      <c r="L352" s="16">
        <v>0</v>
      </c>
      <c r="M352" s="16">
        <v>0</v>
      </c>
      <c r="N352" s="16">
        <v>0</v>
      </c>
      <c r="O352" s="16">
        <v>0</v>
      </c>
      <c r="P352" s="16">
        <v>0</v>
      </c>
      <c r="Q352" s="16">
        <v>0</v>
      </c>
      <c r="R352" s="16">
        <v>0</v>
      </c>
      <c r="S352" s="16">
        <v>0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  <c r="AG352" s="16">
        <v>0</v>
      </c>
      <c r="AH352" s="16">
        <v>0</v>
      </c>
      <c r="AI352" s="16">
        <v>0</v>
      </c>
      <c r="AJ352" s="16">
        <v>0</v>
      </c>
      <c r="AK352" s="16">
        <v>0</v>
      </c>
      <c r="AL352" s="16">
        <v>0</v>
      </c>
      <c r="AM352" s="16">
        <v>-3204</v>
      </c>
      <c r="AN352" s="16">
        <v>0</v>
      </c>
      <c r="AO352" s="16">
        <v>-3204</v>
      </c>
      <c r="AP352" s="16">
        <v>3204</v>
      </c>
      <c r="AQ352" s="5" t="s">
        <v>159</v>
      </c>
    </row>
    <row r="353" spans="1:43" x14ac:dyDescent="0.3">
      <c r="A353" s="9" t="s">
        <v>727</v>
      </c>
      <c r="B353" s="11" t="s">
        <v>726</v>
      </c>
      <c r="C353" s="16">
        <v>0</v>
      </c>
      <c r="D353" s="16">
        <v>0</v>
      </c>
      <c r="E353" s="16">
        <v>0</v>
      </c>
      <c r="F353" s="16">
        <v>0</v>
      </c>
      <c r="G353" s="16">
        <v>0</v>
      </c>
      <c r="H353" s="16">
        <v>1000</v>
      </c>
      <c r="I353" s="16">
        <v>0</v>
      </c>
      <c r="J353" s="16">
        <v>119</v>
      </c>
      <c r="K353" s="16">
        <v>0</v>
      </c>
      <c r="L353" s="16">
        <v>1</v>
      </c>
      <c r="M353" s="16">
        <v>0</v>
      </c>
      <c r="N353" s="16">
        <v>0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1119</v>
      </c>
      <c r="AE353" s="16">
        <v>1119</v>
      </c>
      <c r="AF353" s="16">
        <v>0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  <c r="AL353" s="16">
        <v>0</v>
      </c>
      <c r="AM353" s="16">
        <v>-1602</v>
      </c>
      <c r="AN353" s="16">
        <v>0</v>
      </c>
      <c r="AO353" s="16">
        <v>-1602</v>
      </c>
      <c r="AP353" s="16">
        <v>1602</v>
      </c>
      <c r="AQ353" s="5" t="s">
        <v>159</v>
      </c>
    </row>
    <row r="354" spans="1:43" x14ac:dyDescent="0.3">
      <c r="A354" s="9" t="s">
        <v>729</v>
      </c>
      <c r="B354" s="11" t="s">
        <v>728</v>
      </c>
      <c r="C354" s="16">
        <v>0</v>
      </c>
      <c r="D354" s="16">
        <v>0</v>
      </c>
      <c r="E354" s="16">
        <v>0</v>
      </c>
      <c r="F354" s="16">
        <v>0</v>
      </c>
      <c r="G354" s="16">
        <v>0</v>
      </c>
      <c r="H354" s="16">
        <v>0</v>
      </c>
      <c r="I354" s="16">
        <v>0</v>
      </c>
      <c r="J354" s="16">
        <v>1614</v>
      </c>
      <c r="K354" s="16">
        <v>0</v>
      </c>
      <c r="L354" s="16">
        <v>17</v>
      </c>
      <c r="M354" s="16">
        <v>0</v>
      </c>
      <c r="N354" s="16">
        <v>0</v>
      </c>
      <c r="O354" s="16">
        <v>90</v>
      </c>
      <c r="P354" s="16">
        <v>0</v>
      </c>
      <c r="Q354" s="16">
        <v>10</v>
      </c>
      <c r="R354" s="16">
        <v>12</v>
      </c>
      <c r="S354" s="16">
        <v>52</v>
      </c>
      <c r="T354" s="16">
        <v>1</v>
      </c>
      <c r="U354" s="16">
        <v>3</v>
      </c>
      <c r="V354" s="16">
        <v>89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1614</v>
      </c>
      <c r="AE354" s="16">
        <v>1602</v>
      </c>
      <c r="AF354" s="16">
        <v>0</v>
      </c>
      <c r="AG354" s="16">
        <v>0</v>
      </c>
      <c r="AH354" s="16">
        <v>0</v>
      </c>
      <c r="AI354" s="16">
        <v>0</v>
      </c>
      <c r="AJ354" s="16">
        <v>0</v>
      </c>
      <c r="AK354" s="16">
        <v>0</v>
      </c>
      <c r="AL354" s="16">
        <v>0</v>
      </c>
      <c r="AM354" s="16">
        <v>0</v>
      </c>
      <c r="AN354" s="16">
        <v>0</v>
      </c>
      <c r="AO354" s="16">
        <v>0</v>
      </c>
      <c r="AP354" s="16">
        <v>0</v>
      </c>
      <c r="AQ354" s="5" t="s">
        <v>159</v>
      </c>
    </row>
    <row r="355" spans="1:43" x14ac:dyDescent="0.3">
      <c r="A355" s="9" t="s">
        <v>731</v>
      </c>
      <c r="B355" s="11" t="s">
        <v>730</v>
      </c>
      <c r="C355" s="16">
        <v>0</v>
      </c>
      <c r="D355" s="16">
        <v>0</v>
      </c>
      <c r="E355" s="16">
        <v>0</v>
      </c>
      <c r="F355" s="16">
        <v>0</v>
      </c>
      <c r="G355" s="16">
        <v>0</v>
      </c>
      <c r="H355" s="16">
        <v>-1000</v>
      </c>
      <c r="I355" s="16">
        <v>0</v>
      </c>
      <c r="J355" s="16">
        <v>-1247</v>
      </c>
      <c r="K355" s="16">
        <v>0</v>
      </c>
      <c r="L355" s="16">
        <v>-12</v>
      </c>
      <c r="M355" s="16">
        <v>0</v>
      </c>
      <c r="N355" s="16">
        <v>0</v>
      </c>
      <c r="O355" s="16">
        <v>113</v>
      </c>
      <c r="P355" s="16">
        <v>0</v>
      </c>
      <c r="Q355" s="16">
        <v>10</v>
      </c>
      <c r="R355" s="16">
        <v>0</v>
      </c>
      <c r="S355" s="16">
        <v>0</v>
      </c>
      <c r="T355" s="16">
        <v>0</v>
      </c>
      <c r="U355" s="16">
        <v>0</v>
      </c>
      <c r="V355" s="16">
        <v>113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0</v>
      </c>
      <c r="AD355" s="16">
        <v>-2247</v>
      </c>
      <c r="AE355" s="16">
        <v>-2247</v>
      </c>
      <c r="AF355" s="16">
        <v>0</v>
      </c>
      <c r="AG355" s="16">
        <v>0</v>
      </c>
      <c r="AH355" s="16">
        <v>0</v>
      </c>
      <c r="AI355" s="16">
        <v>0</v>
      </c>
      <c r="AJ355" s="16">
        <v>0</v>
      </c>
      <c r="AK355" s="16">
        <v>0</v>
      </c>
      <c r="AL355" s="16">
        <v>680</v>
      </c>
      <c r="AM355" s="16">
        <v>0</v>
      </c>
      <c r="AN355" s="16">
        <v>0</v>
      </c>
      <c r="AO355" s="16">
        <v>680</v>
      </c>
      <c r="AP355" s="16">
        <v>-680</v>
      </c>
      <c r="AQ355" s="5" t="s">
        <v>159</v>
      </c>
    </row>
    <row r="356" spans="1:43" x14ac:dyDescent="0.3">
      <c r="A356" s="9" t="s">
        <v>733</v>
      </c>
      <c r="B356" s="11" t="s">
        <v>732</v>
      </c>
      <c r="C356" s="16">
        <v>0</v>
      </c>
      <c r="D356" s="16">
        <v>0</v>
      </c>
      <c r="E356" s="16">
        <v>0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6">
        <v>0</v>
      </c>
      <c r="P356" s="16">
        <v>0</v>
      </c>
      <c r="Q356" s="16">
        <v>7.5</v>
      </c>
      <c r="R356" s="16">
        <v>0</v>
      </c>
      <c r="S356" s="16">
        <v>0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  <c r="AG356" s="16">
        <v>0</v>
      </c>
      <c r="AH356" s="16">
        <v>0</v>
      </c>
      <c r="AI356" s="16">
        <v>0</v>
      </c>
      <c r="AJ356" s="16">
        <v>0</v>
      </c>
      <c r="AK356" s="16">
        <v>0</v>
      </c>
      <c r="AL356" s="16">
        <v>0</v>
      </c>
      <c r="AM356" s="16">
        <v>0</v>
      </c>
      <c r="AN356" s="16">
        <v>0</v>
      </c>
      <c r="AO356" s="16">
        <v>0</v>
      </c>
      <c r="AP356" s="16">
        <v>0</v>
      </c>
      <c r="AQ356" s="5" t="s">
        <v>159</v>
      </c>
    </row>
    <row r="357" spans="1:43" x14ac:dyDescent="0.3">
      <c r="A357" s="9" t="s">
        <v>735</v>
      </c>
      <c r="B357" s="11" t="s">
        <v>734</v>
      </c>
      <c r="C357" s="16">
        <v>0</v>
      </c>
      <c r="D357" s="16">
        <v>0</v>
      </c>
      <c r="E357" s="16">
        <v>0</v>
      </c>
      <c r="F357" s="16">
        <v>0</v>
      </c>
      <c r="G357" s="16">
        <v>0</v>
      </c>
      <c r="H357" s="16">
        <v>1000</v>
      </c>
      <c r="I357" s="16">
        <v>0</v>
      </c>
      <c r="J357" s="16">
        <v>5091</v>
      </c>
      <c r="K357" s="16">
        <v>0</v>
      </c>
      <c r="L357" s="16">
        <v>52</v>
      </c>
      <c r="M357" s="16">
        <v>0</v>
      </c>
      <c r="N357" s="16">
        <v>0</v>
      </c>
      <c r="O357" s="16">
        <v>-373</v>
      </c>
      <c r="P357" s="16">
        <v>500</v>
      </c>
      <c r="Q357" s="16">
        <v>-32.5</v>
      </c>
      <c r="R357" s="16">
        <v>0</v>
      </c>
      <c r="S357" s="16">
        <v>0</v>
      </c>
      <c r="T357" s="16">
        <v>0</v>
      </c>
      <c r="U357" s="16">
        <v>0</v>
      </c>
      <c r="V357" s="16">
        <v>-373</v>
      </c>
      <c r="W357" s="16">
        <v>0</v>
      </c>
      <c r="X357" s="16">
        <v>500</v>
      </c>
      <c r="Y357" s="16">
        <v>3.75</v>
      </c>
      <c r="Z357" s="16">
        <v>16.25</v>
      </c>
      <c r="AA357" s="16">
        <v>483.75</v>
      </c>
      <c r="AB357" s="16">
        <v>0</v>
      </c>
      <c r="AC357" s="16">
        <v>0</v>
      </c>
      <c r="AD357" s="16">
        <v>6591</v>
      </c>
      <c r="AE357" s="16">
        <v>6591</v>
      </c>
      <c r="AF357" s="16">
        <v>0</v>
      </c>
      <c r="AG357" s="16">
        <v>0</v>
      </c>
      <c r="AH357" s="16">
        <v>0</v>
      </c>
      <c r="AI357" s="16">
        <v>0</v>
      </c>
      <c r="AJ357" s="16">
        <v>0</v>
      </c>
      <c r="AK357" s="16">
        <v>0</v>
      </c>
      <c r="AL357" s="16">
        <v>0</v>
      </c>
      <c r="AM357" s="16">
        <v>-801</v>
      </c>
      <c r="AN357" s="16">
        <v>0</v>
      </c>
      <c r="AO357" s="16">
        <v>-801</v>
      </c>
      <c r="AP357" s="16">
        <v>801</v>
      </c>
      <c r="AQ357" s="5" t="s">
        <v>159</v>
      </c>
    </row>
    <row r="358" spans="1:43" x14ac:dyDescent="0.3">
      <c r="A358" s="9" t="s">
        <v>737</v>
      </c>
      <c r="B358" s="11" t="s">
        <v>736</v>
      </c>
      <c r="C358" s="16">
        <v>0</v>
      </c>
      <c r="D358" s="16">
        <v>0</v>
      </c>
      <c r="E358" s="16">
        <v>0</v>
      </c>
      <c r="F358" s="16">
        <v>0</v>
      </c>
      <c r="G358" s="16">
        <v>0</v>
      </c>
      <c r="H358" s="16">
        <v>0</v>
      </c>
      <c r="I358" s="16">
        <v>0</v>
      </c>
      <c r="J358" s="16">
        <v>-2774</v>
      </c>
      <c r="K358" s="16">
        <v>0</v>
      </c>
      <c r="L358" s="16">
        <v>-13</v>
      </c>
      <c r="M358" s="16">
        <v>0</v>
      </c>
      <c r="N358" s="16">
        <v>0</v>
      </c>
      <c r="O358" s="16">
        <v>-45</v>
      </c>
      <c r="P358" s="16">
        <v>0</v>
      </c>
      <c r="Q358" s="16">
        <v>-1.5</v>
      </c>
      <c r="R358" s="16">
        <v>0</v>
      </c>
      <c r="S358" s="16">
        <v>0</v>
      </c>
      <c r="T358" s="16">
        <v>0</v>
      </c>
      <c r="U358" s="16">
        <v>0</v>
      </c>
      <c r="V358" s="16">
        <v>-45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0</v>
      </c>
      <c r="AD358" s="16">
        <v>-2774</v>
      </c>
      <c r="AE358" s="16">
        <v>-2774</v>
      </c>
      <c r="AF358" s="16">
        <v>0</v>
      </c>
      <c r="AG358" s="16">
        <v>0</v>
      </c>
      <c r="AH358" s="16">
        <v>0</v>
      </c>
      <c r="AI358" s="16">
        <v>0</v>
      </c>
      <c r="AJ358" s="16">
        <v>0</v>
      </c>
      <c r="AK358" s="16">
        <v>0</v>
      </c>
      <c r="AL358" s="16">
        <v>0</v>
      </c>
      <c r="AM358" s="16">
        <v>-2403</v>
      </c>
      <c r="AN358" s="16">
        <v>0</v>
      </c>
      <c r="AO358" s="16">
        <v>-2403</v>
      </c>
      <c r="AP358" s="16">
        <v>2403</v>
      </c>
      <c r="AQ358" s="5" t="s">
        <v>159</v>
      </c>
    </row>
    <row r="359" spans="1:43" x14ac:dyDescent="0.3">
      <c r="A359" s="9" t="s">
        <v>739</v>
      </c>
      <c r="B359" s="11" t="s">
        <v>738</v>
      </c>
      <c r="C359" s="16">
        <v>0</v>
      </c>
      <c r="D359" s="16">
        <v>0</v>
      </c>
      <c r="E359" s="16">
        <v>0</v>
      </c>
      <c r="F359" s="16">
        <v>0</v>
      </c>
      <c r="G359" s="16">
        <v>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-44</v>
      </c>
      <c r="P359" s="16">
        <v>0</v>
      </c>
      <c r="Q359" s="16">
        <v>-2</v>
      </c>
      <c r="R359" s="16">
        <v>0</v>
      </c>
      <c r="S359" s="16">
        <v>0</v>
      </c>
      <c r="T359" s="16">
        <v>0</v>
      </c>
      <c r="U359" s="16">
        <v>0</v>
      </c>
      <c r="V359" s="16">
        <v>-44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  <c r="AG359" s="16">
        <v>0</v>
      </c>
      <c r="AH359" s="16">
        <v>0</v>
      </c>
      <c r="AI359" s="16">
        <v>0</v>
      </c>
      <c r="AJ359" s="16">
        <v>0</v>
      </c>
      <c r="AK359" s="16">
        <v>0</v>
      </c>
      <c r="AL359" s="16">
        <v>0</v>
      </c>
      <c r="AM359" s="16">
        <v>-2403</v>
      </c>
      <c r="AN359" s="16">
        <v>0</v>
      </c>
      <c r="AO359" s="16">
        <v>-2403</v>
      </c>
      <c r="AP359" s="16">
        <v>2403</v>
      </c>
      <c r="AQ359" s="5" t="s">
        <v>159</v>
      </c>
    </row>
    <row r="360" spans="1:43" x14ac:dyDescent="0.3">
      <c r="A360" s="9" t="s">
        <v>741</v>
      </c>
      <c r="B360" s="11" t="s">
        <v>740</v>
      </c>
      <c r="C360" s="16">
        <v>0</v>
      </c>
      <c r="D360" s="16">
        <v>0</v>
      </c>
      <c r="E360" s="16">
        <v>0</v>
      </c>
      <c r="F360" s="16">
        <v>0</v>
      </c>
      <c r="G360" s="16">
        <v>0</v>
      </c>
      <c r="H360" s="16">
        <v>-1000</v>
      </c>
      <c r="I360" s="16">
        <v>-345.92</v>
      </c>
      <c r="J360" s="16">
        <v>2843</v>
      </c>
      <c r="K360" s="16">
        <v>0</v>
      </c>
      <c r="L360" s="16">
        <v>28</v>
      </c>
      <c r="M360" s="16">
        <v>0</v>
      </c>
      <c r="N360" s="16">
        <v>0</v>
      </c>
      <c r="O360" s="16">
        <v>187</v>
      </c>
      <c r="P360" s="16">
        <v>500</v>
      </c>
      <c r="Q360" s="16">
        <v>17.5</v>
      </c>
      <c r="R360" s="16">
        <v>0</v>
      </c>
      <c r="S360" s="16">
        <v>0</v>
      </c>
      <c r="T360" s="16">
        <v>0</v>
      </c>
      <c r="U360" s="16">
        <v>0</v>
      </c>
      <c r="V360" s="16">
        <v>187</v>
      </c>
      <c r="W360" s="16">
        <v>0</v>
      </c>
      <c r="X360" s="16">
        <v>500</v>
      </c>
      <c r="Y360" s="16">
        <v>3.75</v>
      </c>
      <c r="Z360" s="16">
        <v>16.25</v>
      </c>
      <c r="AA360" s="16">
        <v>483.75</v>
      </c>
      <c r="AB360" s="16">
        <v>0</v>
      </c>
      <c r="AC360" s="16">
        <v>0</v>
      </c>
      <c r="AD360" s="16">
        <v>1997</v>
      </c>
      <c r="AE360" s="16">
        <v>1997</v>
      </c>
      <c r="AF360" s="16">
        <v>0</v>
      </c>
      <c r="AG360" s="16">
        <v>0</v>
      </c>
      <c r="AH360" s="16">
        <v>0</v>
      </c>
      <c r="AI360" s="16">
        <v>0</v>
      </c>
      <c r="AJ360" s="16">
        <v>0</v>
      </c>
      <c r="AK360" s="16">
        <v>0</v>
      </c>
      <c r="AL360" s="16">
        <v>0</v>
      </c>
      <c r="AM360" s="16">
        <v>-1602</v>
      </c>
      <c r="AN360" s="16">
        <v>0</v>
      </c>
      <c r="AO360" s="16">
        <v>-1602</v>
      </c>
      <c r="AP360" s="16">
        <v>1602</v>
      </c>
      <c r="AQ360" s="5" t="s">
        <v>159</v>
      </c>
    </row>
    <row r="361" spans="1:43" x14ac:dyDescent="0.3">
      <c r="A361" s="9" t="s">
        <v>743</v>
      </c>
      <c r="B361" s="11" t="s">
        <v>742</v>
      </c>
      <c r="C361" s="16">
        <v>0</v>
      </c>
      <c r="D361" s="16">
        <v>0</v>
      </c>
      <c r="E361" s="16">
        <v>0</v>
      </c>
      <c r="F361" s="16">
        <v>0</v>
      </c>
      <c r="G361" s="16">
        <v>0</v>
      </c>
      <c r="H361" s="16">
        <v>0</v>
      </c>
      <c r="I361" s="16">
        <v>0</v>
      </c>
      <c r="J361" s="16">
        <v>140</v>
      </c>
      <c r="K361" s="16">
        <v>0</v>
      </c>
      <c r="L361" s="16">
        <v>1</v>
      </c>
      <c r="M361" s="16">
        <v>0</v>
      </c>
      <c r="N361" s="16">
        <v>500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640</v>
      </c>
      <c r="AE361" s="16">
        <v>640</v>
      </c>
      <c r="AF361" s="16">
        <v>0</v>
      </c>
      <c r="AG361" s="16">
        <v>0</v>
      </c>
      <c r="AH361" s="16">
        <v>0</v>
      </c>
      <c r="AI361" s="16">
        <v>0</v>
      </c>
      <c r="AJ361" s="16">
        <v>0</v>
      </c>
      <c r="AK361" s="16">
        <v>0</v>
      </c>
      <c r="AL361" s="16">
        <v>0</v>
      </c>
      <c r="AM361" s="16">
        <v>-2403</v>
      </c>
      <c r="AN361" s="16">
        <v>0</v>
      </c>
      <c r="AO361" s="16">
        <v>-2403</v>
      </c>
      <c r="AP361" s="16">
        <v>2403</v>
      </c>
      <c r="AQ361" s="5" t="s">
        <v>159</v>
      </c>
    </row>
    <row r="362" spans="1:43" x14ac:dyDescent="0.3">
      <c r="A362" s="9" t="s">
        <v>745</v>
      </c>
      <c r="B362" s="11" t="s">
        <v>744</v>
      </c>
      <c r="C362" s="16">
        <v>-9078</v>
      </c>
      <c r="D362" s="16">
        <v>-4951</v>
      </c>
      <c r="E362" s="16">
        <v>-826</v>
      </c>
      <c r="F362" s="16">
        <v>-1156</v>
      </c>
      <c r="G362" s="16">
        <v>-496</v>
      </c>
      <c r="H362" s="16">
        <v>0</v>
      </c>
      <c r="I362" s="16">
        <v>0</v>
      </c>
      <c r="J362" s="16">
        <v>-2405</v>
      </c>
      <c r="K362" s="16">
        <v>-16507</v>
      </c>
      <c r="L362" s="16">
        <v>-24</v>
      </c>
      <c r="M362" s="16">
        <v>0</v>
      </c>
      <c r="N362" s="16">
        <v>0</v>
      </c>
      <c r="O362" s="16">
        <v>-648</v>
      </c>
      <c r="P362" s="16">
        <v>0</v>
      </c>
      <c r="Q362" s="16">
        <v>10</v>
      </c>
      <c r="R362" s="16">
        <v>-18</v>
      </c>
      <c r="S362" s="16">
        <v>-78</v>
      </c>
      <c r="T362" s="16">
        <v>-5</v>
      </c>
      <c r="U362" s="16">
        <v>-21</v>
      </c>
      <c r="V362" s="16">
        <v>-643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-2405</v>
      </c>
      <c r="AE362" s="16">
        <v>-2387</v>
      </c>
      <c r="AF362" s="16">
        <v>-16507</v>
      </c>
      <c r="AG362" s="16">
        <v>0</v>
      </c>
      <c r="AH362" s="16">
        <v>-124</v>
      </c>
      <c r="AI362" s="16">
        <v>-208</v>
      </c>
      <c r="AJ362" s="16">
        <v>0</v>
      </c>
      <c r="AK362" s="16">
        <v>-523</v>
      </c>
      <c r="AL362" s="16">
        <v>-151</v>
      </c>
      <c r="AM362" s="16">
        <v>0</v>
      </c>
      <c r="AN362" s="16">
        <v>0</v>
      </c>
      <c r="AO362" s="16">
        <v>-1006</v>
      </c>
      <c r="AP362" s="16">
        <v>-15501</v>
      </c>
      <c r="AQ362" s="5" t="s">
        <v>159</v>
      </c>
    </row>
    <row r="363" spans="1:43" x14ac:dyDescent="0.3">
      <c r="A363" s="9" t="s">
        <v>747</v>
      </c>
      <c r="B363" s="11" t="s">
        <v>746</v>
      </c>
      <c r="C363" s="16">
        <v>0</v>
      </c>
      <c r="D363" s="16">
        <v>0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56</v>
      </c>
      <c r="P363" s="16">
        <v>0</v>
      </c>
      <c r="Q363" s="16">
        <v>1.5</v>
      </c>
      <c r="R363" s="16">
        <v>0</v>
      </c>
      <c r="S363" s="16">
        <v>0</v>
      </c>
      <c r="T363" s="16">
        <v>0</v>
      </c>
      <c r="U363" s="16">
        <v>0</v>
      </c>
      <c r="V363" s="16">
        <v>56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  <c r="AG363" s="16">
        <v>0</v>
      </c>
      <c r="AH363" s="16">
        <v>0</v>
      </c>
      <c r="AI363" s="16">
        <v>0</v>
      </c>
      <c r="AJ363" s="16">
        <v>0</v>
      </c>
      <c r="AK363" s="16">
        <v>0</v>
      </c>
      <c r="AL363" s="16">
        <v>0</v>
      </c>
      <c r="AM363" s="16">
        <v>-2403</v>
      </c>
      <c r="AN363" s="16">
        <v>0</v>
      </c>
      <c r="AO363" s="16">
        <v>-2403</v>
      </c>
      <c r="AP363" s="16">
        <v>2403</v>
      </c>
      <c r="AQ363" s="5" t="s">
        <v>159</v>
      </c>
    </row>
    <row r="364" spans="1:43" x14ac:dyDescent="0.3">
      <c r="A364" s="9" t="s">
        <v>749</v>
      </c>
      <c r="B364" s="11" t="s">
        <v>748</v>
      </c>
      <c r="C364" s="16">
        <v>0</v>
      </c>
      <c r="D364" s="16">
        <v>0</v>
      </c>
      <c r="E364" s="16">
        <v>0</v>
      </c>
      <c r="F364" s="16">
        <v>0</v>
      </c>
      <c r="G364" s="16">
        <v>0</v>
      </c>
      <c r="H364" s="16">
        <v>0</v>
      </c>
      <c r="I364" s="16">
        <v>0</v>
      </c>
      <c r="J364" s="16">
        <v>0</v>
      </c>
      <c r="K364" s="16">
        <v>0</v>
      </c>
      <c r="L364" s="16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0</v>
      </c>
      <c r="AG364" s="16">
        <v>0</v>
      </c>
      <c r="AH364" s="16">
        <v>0</v>
      </c>
      <c r="AI364" s="16">
        <v>0</v>
      </c>
      <c r="AJ364" s="16">
        <v>0</v>
      </c>
      <c r="AK364" s="16">
        <v>0</v>
      </c>
      <c r="AL364" s="16">
        <v>0</v>
      </c>
      <c r="AM364" s="16">
        <v>-2403</v>
      </c>
      <c r="AN364" s="16">
        <v>0</v>
      </c>
      <c r="AO364" s="16">
        <v>-2403</v>
      </c>
      <c r="AP364" s="16">
        <v>2403</v>
      </c>
      <c r="AQ364" s="5" t="s">
        <v>159</v>
      </c>
    </row>
    <row r="365" spans="1:43" x14ac:dyDescent="0.3">
      <c r="A365" s="9" t="s">
        <v>751</v>
      </c>
      <c r="B365" s="11" t="s">
        <v>750</v>
      </c>
      <c r="C365" s="16">
        <v>0</v>
      </c>
      <c r="D365" s="16">
        <v>0</v>
      </c>
      <c r="E365" s="16">
        <v>0</v>
      </c>
      <c r="F365" s="16">
        <v>0</v>
      </c>
      <c r="G365" s="16">
        <v>0</v>
      </c>
      <c r="H365" s="16">
        <v>0</v>
      </c>
      <c r="I365" s="16">
        <v>0</v>
      </c>
      <c r="J365" s="16">
        <v>0</v>
      </c>
      <c r="K365" s="16">
        <v>0</v>
      </c>
      <c r="L365" s="16">
        <v>0</v>
      </c>
      <c r="M365" s="16">
        <v>0</v>
      </c>
      <c r="N365" s="16">
        <v>0</v>
      </c>
      <c r="O365" s="16">
        <v>191</v>
      </c>
      <c r="P365" s="16">
        <v>0</v>
      </c>
      <c r="Q365" s="16">
        <v>10</v>
      </c>
      <c r="R365" s="16">
        <v>0</v>
      </c>
      <c r="S365" s="16">
        <v>0</v>
      </c>
      <c r="T365" s="16">
        <v>0</v>
      </c>
      <c r="U365" s="16">
        <v>0</v>
      </c>
      <c r="V365" s="16">
        <v>191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  <c r="AG365" s="16">
        <v>0</v>
      </c>
      <c r="AH365" s="16">
        <v>0</v>
      </c>
      <c r="AI365" s="16">
        <v>0</v>
      </c>
      <c r="AJ365" s="16">
        <v>0</v>
      </c>
      <c r="AK365" s="16">
        <v>0</v>
      </c>
      <c r="AL365" s="16">
        <v>0</v>
      </c>
      <c r="AM365" s="16">
        <v>-2403</v>
      </c>
      <c r="AN365" s="16">
        <v>0</v>
      </c>
      <c r="AO365" s="16">
        <v>-2403</v>
      </c>
      <c r="AP365" s="16">
        <v>2403</v>
      </c>
      <c r="AQ365" s="5" t="s">
        <v>159</v>
      </c>
    </row>
    <row r="366" spans="1:43" x14ac:dyDescent="0.3">
      <c r="A366" s="9" t="s">
        <v>753</v>
      </c>
      <c r="B366" s="11" t="s">
        <v>752</v>
      </c>
      <c r="C366" s="16">
        <v>0</v>
      </c>
      <c r="D366" s="16">
        <v>0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-20</v>
      </c>
      <c r="P366" s="16">
        <v>0</v>
      </c>
      <c r="Q366" s="16">
        <v>-0.5</v>
      </c>
      <c r="R366" s="16">
        <v>0</v>
      </c>
      <c r="S366" s="16">
        <v>0</v>
      </c>
      <c r="T366" s="16">
        <v>0</v>
      </c>
      <c r="U366" s="16">
        <v>0</v>
      </c>
      <c r="V366" s="16">
        <v>-20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  <c r="AG366" s="16">
        <v>0</v>
      </c>
      <c r="AH366" s="16">
        <v>0</v>
      </c>
      <c r="AI366" s="16">
        <v>0</v>
      </c>
      <c r="AJ366" s="16">
        <v>0</v>
      </c>
      <c r="AK366" s="16">
        <v>0</v>
      </c>
      <c r="AL366" s="16">
        <v>0</v>
      </c>
      <c r="AM366" s="16">
        <v>-4806</v>
      </c>
      <c r="AN366" s="16">
        <v>0</v>
      </c>
      <c r="AO366" s="16">
        <v>-4806</v>
      </c>
      <c r="AP366" s="16">
        <v>4806</v>
      </c>
      <c r="AQ366" s="5" t="s">
        <v>159</v>
      </c>
    </row>
    <row r="367" spans="1:43" x14ac:dyDescent="0.3">
      <c r="A367" s="9" t="s">
        <v>755</v>
      </c>
      <c r="B367" s="11" t="s">
        <v>754</v>
      </c>
      <c r="C367" s="16">
        <v>0</v>
      </c>
      <c r="D367" s="16">
        <v>0</v>
      </c>
      <c r="E367" s="16">
        <v>0</v>
      </c>
      <c r="F367" s="16">
        <v>0</v>
      </c>
      <c r="G367" s="16">
        <v>0</v>
      </c>
      <c r="H367" s="16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0</v>
      </c>
      <c r="O367" s="16">
        <v>47</v>
      </c>
      <c r="P367" s="16">
        <v>0</v>
      </c>
      <c r="Q367" s="16">
        <v>1.5</v>
      </c>
      <c r="R367" s="16">
        <v>0</v>
      </c>
      <c r="S367" s="16">
        <v>0</v>
      </c>
      <c r="T367" s="16">
        <v>0</v>
      </c>
      <c r="U367" s="16">
        <v>0</v>
      </c>
      <c r="V367" s="16">
        <v>47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0</v>
      </c>
      <c r="AF367" s="16">
        <v>0</v>
      </c>
      <c r="AG367" s="16">
        <v>0</v>
      </c>
      <c r="AH367" s="16">
        <v>0</v>
      </c>
      <c r="AI367" s="16">
        <v>0</v>
      </c>
      <c r="AJ367" s="16">
        <v>0</v>
      </c>
      <c r="AK367" s="16">
        <v>0</v>
      </c>
      <c r="AL367" s="16">
        <v>0</v>
      </c>
      <c r="AM367" s="16">
        <v>-2403</v>
      </c>
      <c r="AN367" s="16">
        <v>0</v>
      </c>
      <c r="AO367" s="16">
        <v>-2403</v>
      </c>
      <c r="AP367" s="16">
        <v>2403</v>
      </c>
      <c r="AQ367" s="5" t="s">
        <v>159</v>
      </c>
    </row>
    <row r="368" spans="1:43" x14ac:dyDescent="0.3">
      <c r="A368" s="9" t="s">
        <v>757</v>
      </c>
      <c r="B368" s="11" t="s">
        <v>756</v>
      </c>
      <c r="C368" s="16">
        <v>336</v>
      </c>
      <c r="D368" s="16">
        <v>183</v>
      </c>
      <c r="E368" s="16">
        <v>30</v>
      </c>
      <c r="F368" s="16">
        <v>43</v>
      </c>
      <c r="G368" s="16">
        <v>18</v>
      </c>
      <c r="H368" s="16">
        <v>0</v>
      </c>
      <c r="I368" s="16">
        <v>-500.08</v>
      </c>
      <c r="J368" s="16">
        <v>723</v>
      </c>
      <c r="K368" s="16">
        <v>701</v>
      </c>
      <c r="L368" s="16">
        <v>8</v>
      </c>
      <c r="M368" s="16">
        <v>0</v>
      </c>
      <c r="N368" s="16">
        <v>0</v>
      </c>
      <c r="O368" s="16">
        <v>123</v>
      </c>
      <c r="P368" s="16">
        <v>0</v>
      </c>
      <c r="Q368" s="16">
        <v>10</v>
      </c>
      <c r="R368" s="16">
        <v>2</v>
      </c>
      <c r="S368" s="16">
        <v>7</v>
      </c>
      <c r="T368" s="16">
        <v>1</v>
      </c>
      <c r="U368" s="16">
        <v>4</v>
      </c>
      <c r="V368" s="16">
        <v>122</v>
      </c>
      <c r="W368" s="16">
        <v>427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6">
        <v>91</v>
      </c>
      <c r="AD368" s="16">
        <v>223</v>
      </c>
      <c r="AE368" s="16">
        <v>221</v>
      </c>
      <c r="AF368" s="16">
        <v>701</v>
      </c>
      <c r="AG368" s="16">
        <v>51</v>
      </c>
      <c r="AH368" s="16">
        <v>5</v>
      </c>
      <c r="AI368" s="16">
        <v>0</v>
      </c>
      <c r="AJ368" s="16">
        <v>0</v>
      </c>
      <c r="AK368" s="16">
        <v>21</v>
      </c>
      <c r="AL368" s="16">
        <v>0</v>
      </c>
      <c r="AM368" s="16">
        <v>0</v>
      </c>
      <c r="AN368" s="16">
        <v>0</v>
      </c>
      <c r="AO368" s="16">
        <v>77</v>
      </c>
      <c r="AP368" s="16">
        <v>624</v>
      </c>
      <c r="AQ368" s="5" t="s">
        <v>159</v>
      </c>
    </row>
    <row r="369" spans="1:43" x14ac:dyDescent="0.3">
      <c r="A369" s="9" t="s">
        <v>759</v>
      </c>
      <c r="B369" s="11" t="s">
        <v>758</v>
      </c>
      <c r="C369" s="16">
        <v>211</v>
      </c>
      <c r="D369" s="16">
        <v>115</v>
      </c>
      <c r="E369" s="16">
        <v>20</v>
      </c>
      <c r="F369" s="16">
        <v>27</v>
      </c>
      <c r="G369" s="16">
        <v>12</v>
      </c>
      <c r="H369" s="16">
        <v>0</v>
      </c>
      <c r="I369" s="16">
        <v>-807.92</v>
      </c>
      <c r="J369" s="16">
        <v>-113</v>
      </c>
      <c r="K369" s="16">
        <v>0</v>
      </c>
      <c r="L369" s="16">
        <v>-1</v>
      </c>
      <c r="M369" s="16">
        <v>0</v>
      </c>
      <c r="N369" s="16">
        <v>0</v>
      </c>
      <c r="O369" s="16">
        <v>308</v>
      </c>
      <c r="P369" s="16">
        <v>0</v>
      </c>
      <c r="Q369" s="16">
        <v>17.5</v>
      </c>
      <c r="R369" s="16">
        <v>0</v>
      </c>
      <c r="S369" s="16">
        <v>0</v>
      </c>
      <c r="T369" s="16">
        <v>0</v>
      </c>
      <c r="U369" s="16">
        <v>0</v>
      </c>
      <c r="V369" s="16">
        <v>308</v>
      </c>
      <c r="W369" s="16">
        <v>253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199</v>
      </c>
      <c r="AD369" s="16">
        <v>-921</v>
      </c>
      <c r="AE369" s="16">
        <v>-921</v>
      </c>
      <c r="AF369" s="16">
        <v>584</v>
      </c>
      <c r="AG369" s="16">
        <v>30</v>
      </c>
      <c r="AH369" s="16">
        <v>0</v>
      </c>
      <c r="AI369" s="16">
        <v>0</v>
      </c>
      <c r="AJ369" s="16">
        <v>0</v>
      </c>
      <c r="AK369" s="16">
        <v>11</v>
      </c>
      <c r="AL369" s="16">
        <v>0</v>
      </c>
      <c r="AM369" s="16">
        <v>-2403</v>
      </c>
      <c r="AN369" s="16">
        <v>0</v>
      </c>
      <c r="AO369" s="16">
        <v>-2362</v>
      </c>
      <c r="AP369" s="16">
        <v>2946</v>
      </c>
      <c r="AQ369" s="5" t="s">
        <v>159</v>
      </c>
    </row>
    <row r="370" spans="1:43" x14ac:dyDescent="0.3">
      <c r="A370" s="9" t="s">
        <v>761</v>
      </c>
      <c r="B370" s="11" t="s">
        <v>760</v>
      </c>
      <c r="C370" s="16">
        <v>6736</v>
      </c>
      <c r="D370" s="16">
        <v>3674</v>
      </c>
      <c r="E370" s="16">
        <v>613</v>
      </c>
      <c r="F370" s="16">
        <v>857</v>
      </c>
      <c r="G370" s="16">
        <v>367</v>
      </c>
      <c r="H370" s="16">
        <v>1000</v>
      </c>
      <c r="I370" s="16">
        <v>2769</v>
      </c>
      <c r="J370" s="16">
        <v>8160</v>
      </c>
      <c r="K370" s="16">
        <v>0</v>
      </c>
      <c r="L370" s="16">
        <v>72</v>
      </c>
      <c r="M370" s="16">
        <v>0</v>
      </c>
      <c r="N370" s="16">
        <v>0</v>
      </c>
      <c r="O370" s="16">
        <v>632</v>
      </c>
      <c r="P370" s="16">
        <v>1000</v>
      </c>
      <c r="Q370" s="16">
        <v>9</v>
      </c>
      <c r="R370" s="16">
        <v>0</v>
      </c>
      <c r="S370" s="16">
        <v>0</v>
      </c>
      <c r="T370" s="16">
        <v>0</v>
      </c>
      <c r="U370" s="16">
        <v>0</v>
      </c>
      <c r="V370" s="16">
        <v>632</v>
      </c>
      <c r="W370" s="16">
        <v>8571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  <c r="AC370" s="16">
        <v>171</v>
      </c>
      <c r="AD370" s="16">
        <v>12929</v>
      </c>
      <c r="AE370" s="16">
        <v>12929</v>
      </c>
      <c r="AF370" s="16">
        <v>12418</v>
      </c>
      <c r="AG370" s="16">
        <v>1029</v>
      </c>
      <c r="AH370" s="16">
        <v>0</v>
      </c>
      <c r="AI370" s="16">
        <v>53</v>
      </c>
      <c r="AJ370" s="16">
        <v>0</v>
      </c>
      <c r="AK370" s="16">
        <v>343</v>
      </c>
      <c r="AL370" s="16">
        <v>0</v>
      </c>
      <c r="AM370" s="16">
        <v>0</v>
      </c>
      <c r="AN370" s="16">
        <v>0</v>
      </c>
      <c r="AO370" s="16">
        <v>1425</v>
      </c>
      <c r="AP370" s="16">
        <v>10993</v>
      </c>
      <c r="AQ370" s="5" t="s">
        <v>159</v>
      </c>
    </row>
    <row r="371" spans="1:43" x14ac:dyDescent="0.3">
      <c r="A371" s="9" t="s">
        <v>763</v>
      </c>
      <c r="B371" s="11" t="s">
        <v>762</v>
      </c>
      <c r="C371" s="16">
        <v>0</v>
      </c>
      <c r="D371" s="16">
        <v>0</v>
      </c>
      <c r="E371" s="16">
        <v>0</v>
      </c>
      <c r="F371" s="16">
        <v>0</v>
      </c>
      <c r="G371" s="16">
        <v>0</v>
      </c>
      <c r="H371" s="16">
        <v>0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-152</v>
      </c>
      <c r="P371" s="16">
        <v>0</v>
      </c>
      <c r="Q371" s="16">
        <v>-5</v>
      </c>
      <c r="R371" s="16">
        <v>0</v>
      </c>
      <c r="S371" s="16">
        <v>0</v>
      </c>
      <c r="T371" s="16">
        <v>0</v>
      </c>
      <c r="U371" s="16">
        <v>0</v>
      </c>
      <c r="V371" s="16">
        <v>-152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0</v>
      </c>
      <c r="AF371" s="16">
        <v>0</v>
      </c>
      <c r="AG371" s="16">
        <v>0</v>
      </c>
      <c r="AH371" s="16">
        <v>0</v>
      </c>
      <c r="AI371" s="16">
        <v>0</v>
      </c>
      <c r="AJ371" s="16">
        <v>0</v>
      </c>
      <c r="AK371" s="16">
        <v>0</v>
      </c>
      <c r="AL371" s="16">
        <v>0</v>
      </c>
      <c r="AM371" s="16">
        <v>-1602</v>
      </c>
      <c r="AN371" s="16">
        <v>0</v>
      </c>
      <c r="AO371" s="16">
        <v>-1602</v>
      </c>
      <c r="AP371" s="16">
        <v>1602</v>
      </c>
      <c r="AQ371" s="5" t="s">
        <v>159</v>
      </c>
    </row>
    <row r="372" spans="1:43" x14ac:dyDescent="0.3">
      <c r="A372" s="9" t="s">
        <v>765</v>
      </c>
      <c r="B372" s="11" t="s">
        <v>764</v>
      </c>
      <c r="C372" s="16">
        <v>9036</v>
      </c>
      <c r="D372" s="16">
        <v>4929</v>
      </c>
      <c r="E372" s="16">
        <v>821</v>
      </c>
      <c r="F372" s="16">
        <v>1150</v>
      </c>
      <c r="G372" s="16">
        <v>493</v>
      </c>
      <c r="H372" s="16">
        <v>1000</v>
      </c>
      <c r="I372" s="16">
        <v>0</v>
      </c>
      <c r="J372" s="16">
        <v>0</v>
      </c>
      <c r="K372" s="16">
        <v>16429</v>
      </c>
      <c r="L372" s="16">
        <v>0</v>
      </c>
      <c r="M372" s="16">
        <v>0</v>
      </c>
      <c r="N372" s="16">
        <v>0</v>
      </c>
      <c r="O372" s="16">
        <v>814</v>
      </c>
      <c r="P372" s="16">
        <v>0</v>
      </c>
      <c r="Q372" s="16">
        <v>2.5</v>
      </c>
      <c r="R372" s="16">
        <v>8</v>
      </c>
      <c r="S372" s="16">
        <v>33</v>
      </c>
      <c r="T372" s="16">
        <v>6</v>
      </c>
      <c r="U372" s="16">
        <v>26</v>
      </c>
      <c r="V372" s="16">
        <v>808</v>
      </c>
      <c r="W372" s="16">
        <v>11500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1000</v>
      </c>
      <c r="AE372" s="16">
        <v>992</v>
      </c>
      <c r="AF372" s="16">
        <v>16429</v>
      </c>
      <c r="AG372" s="16">
        <v>1380</v>
      </c>
      <c r="AH372" s="16">
        <v>123</v>
      </c>
      <c r="AI372" s="16">
        <v>178</v>
      </c>
      <c r="AJ372" s="16">
        <v>0</v>
      </c>
      <c r="AK372" s="16">
        <v>493</v>
      </c>
      <c r="AL372" s="16">
        <v>0</v>
      </c>
      <c r="AM372" s="16">
        <v>0</v>
      </c>
      <c r="AN372" s="16">
        <v>0</v>
      </c>
      <c r="AO372" s="16">
        <v>2174</v>
      </c>
      <c r="AP372" s="16">
        <v>14255</v>
      </c>
      <c r="AQ372" s="5" t="s">
        <v>159</v>
      </c>
    </row>
    <row r="373" spans="1:43" x14ac:dyDescent="0.3">
      <c r="A373" s="9" t="s">
        <v>767</v>
      </c>
      <c r="B373" s="11" t="s">
        <v>766</v>
      </c>
      <c r="C373" s="16">
        <v>-1777</v>
      </c>
      <c r="D373" s="16">
        <v>-970</v>
      </c>
      <c r="E373" s="16">
        <v>-162</v>
      </c>
      <c r="F373" s="16">
        <v>-227</v>
      </c>
      <c r="G373" s="16">
        <v>-97</v>
      </c>
      <c r="H373" s="16">
        <v>0</v>
      </c>
      <c r="I373" s="16">
        <v>-288.45999999999998</v>
      </c>
      <c r="J373" s="16">
        <v>0</v>
      </c>
      <c r="K373" s="16">
        <v>0</v>
      </c>
      <c r="L373" s="16">
        <v>0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-288</v>
      </c>
      <c r="AE373" s="16">
        <v>-288</v>
      </c>
      <c r="AF373" s="16">
        <v>-3233</v>
      </c>
      <c r="AG373" s="16">
        <v>0</v>
      </c>
      <c r="AH373" s="16">
        <v>0</v>
      </c>
      <c r="AI373" s="16">
        <v>0</v>
      </c>
      <c r="AJ373" s="16">
        <v>0</v>
      </c>
      <c r="AK373" s="16">
        <v>-130</v>
      </c>
      <c r="AL373" s="16">
        <v>0</v>
      </c>
      <c r="AM373" s="16">
        <v>0</v>
      </c>
      <c r="AN373" s="16">
        <v>0</v>
      </c>
      <c r="AO373" s="16">
        <v>-130</v>
      </c>
      <c r="AP373" s="16">
        <v>-3103</v>
      </c>
      <c r="AQ373" s="5" t="s">
        <v>159</v>
      </c>
    </row>
    <row r="374" spans="1:43" x14ac:dyDescent="0.3">
      <c r="A374" s="9" t="s">
        <v>769</v>
      </c>
      <c r="B374" s="11" t="s">
        <v>768</v>
      </c>
      <c r="C374" s="16">
        <v>0</v>
      </c>
      <c r="D374" s="16">
        <v>0</v>
      </c>
      <c r="E374" s="16">
        <v>0</v>
      </c>
      <c r="F374" s="16">
        <v>0</v>
      </c>
      <c r="G374" s="16">
        <v>0</v>
      </c>
      <c r="H374" s="16">
        <v>0</v>
      </c>
      <c r="I374" s="16">
        <v>-615.38</v>
      </c>
      <c r="J374" s="16">
        <v>6692</v>
      </c>
      <c r="K374" s="16">
        <v>0</v>
      </c>
      <c r="L374" s="16">
        <v>59</v>
      </c>
      <c r="M374" s="16">
        <v>0</v>
      </c>
      <c r="N374" s="16">
        <v>0</v>
      </c>
      <c r="O374" s="16">
        <v>39</v>
      </c>
      <c r="P374" s="16">
        <v>500</v>
      </c>
      <c r="Q374" s="16">
        <v>2</v>
      </c>
      <c r="R374" s="16">
        <v>0</v>
      </c>
      <c r="S374" s="16">
        <v>0</v>
      </c>
      <c r="T374" s="16">
        <v>0</v>
      </c>
      <c r="U374" s="16">
        <v>0</v>
      </c>
      <c r="V374" s="16">
        <v>39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6577</v>
      </c>
      <c r="AE374" s="16">
        <v>6577</v>
      </c>
      <c r="AF374" s="16">
        <v>0</v>
      </c>
      <c r="AG374" s="16">
        <v>0</v>
      </c>
      <c r="AH374" s="16">
        <v>0</v>
      </c>
      <c r="AI374" s="16">
        <v>0</v>
      </c>
      <c r="AJ374" s="16">
        <v>0</v>
      </c>
      <c r="AK374" s="16">
        <v>0</v>
      </c>
      <c r="AL374" s="16">
        <v>0</v>
      </c>
      <c r="AM374" s="16">
        <v>-2403</v>
      </c>
      <c r="AN374" s="16">
        <v>0</v>
      </c>
      <c r="AO374" s="16">
        <v>-2403</v>
      </c>
      <c r="AP374" s="16">
        <v>2403</v>
      </c>
      <c r="AQ374" s="5" t="s">
        <v>159</v>
      </c>
    </row>
    <row r="375" spans="1:43" x14ac:dyDescent="0.3">
      <c r="A375" s="9" t="s">
        <v>771</v>
      </c>
      <c r="B375" s="11" t="s">
        <v>770</v>
      </c>
      <c r="C375" s="16">
        <v>-3251</v>
      </c>
      <c r="D375" s="16">
        <v>-1773</v>
      </c>
      <c r="E375" s="16">
        <v>-296</v>
      </c>
      <c r="F375" s="16">
        <v>-414</v>
      </c>
      <c r="G375" s="16">
        <v>-178</v>
      </c>
      <c r="H375" s="16">
        <v>0</v>
      </c>
      <c r="I375" s="16">
        <v>0</v>
      </c>
      <c r="J375" s="16">
        <v>0</v>
      </c>
      <c r="K375" s="16">
        <v>-5912</v>
      </c>
      <c r="L375" s="16">
        <v>0</v>
      </c>
      <c r="M375" s="16">
        <v>0</v>
      </c>
      <c r="N375" s="16">
        <v>0</v>
      </c>
      <c r="O375" s="16">
        <v>-429</v>
      </c>
      <c r="P375" s="16">
        <v>0</v>
      </c>
      <c r="Q375" s="16">
        <v>-23.9</v>
      </c>
      <c r="R375" s="16">
        <v>0</v>
      </c>
      <c r="S375" s="16">
        <v>0</v>
      </c>
      <c r="T375" s="16">
        <v>-3</v>
      </c>
      <c r="U375" s="16">
        <v>-14</v>
      </c>
      <c r="V375" s="16">
        <v>-426</v>
      </c>
      <c r="W375" s="16">
        <v>-4139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16">
        <v>0</v>
      </c>
      <c r="AE375" s="16">
        <v>0</v>
      </c>
      <c r="AF375" s="16">
        <v>-5912</v>
      </c>
      <c r="AG375" s="16">
        <v>-497</v>
      </c>
      <c r="AH375" s="16">
        <v>-44</v>
      </c>
      <c r="AI375" s="16">
        <v>-37</v>
      </c>
      <c r="AJ375" s="16">
        <v>0</v>
      </c>
      <c r="AK375" s="16">
        <v>0</v>
      </c>
      <c r="AL375" s="16">
        <v>0</v>
      </c>
      <c r="AM375" s="16">
        <v>0</v>
      </c>
      <c r="AN375" s="16">
        <v>0</v>
      </c>
      <c r="AO375" s="16">
        <v>-578</v>
      </c>
      <c r="AP375" s="16">
        <v>-5334</v>
      </c>
      <c r="AQ375" s="5" t="s">
        <v>159</v>
      </c>
    </row>
    <row r="376" spans="1:43" x14ac:dyDescent="0.3">
      <c r="A376" s="9" t="s">
        <v>773</v>
      </c>
      <c r="B376" s="11" t="s">
        <v>772</v>
      </c>
      <c r="C376" s="16">
        <v>0</v>
      </c>
      <c r="D376" s="16">
        <v>0</v>
      </c>
      <c r="E376" s="16">
        <v>0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30</v>
      </c>
      <c r="P376" s="16">
        <v>0</v>
      </c>
      <c r="Q376" s="16">
        <v>2.5</v>
      </c>
      <c r="R376" s="16">
        <v>0</v>
      </c>
      <c r="S376" s="16">
        <v>0</v>
      </c>
      <c r="T376" s="16">
        <v>0</v>
      </c>
      <c r="U376" s="16">
        <v>0</v>
      </c>
      <c r="V376" s="16">
        <v>30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  <c r="AC376" s="16">
        <v>0</v>
      </c>
      <c r="AD376" s="16">
        <v>0</v>
      </c>
      <c r="AE376" s="16">
        <v>0</v>
      </c>
      <c r="AF376" s="16">
        <v>0</v>
      </c>
      <c r="AG376" s="16">
        <v>0</v>
      </c>
      <c r="AH376" s="16">
        <v>0</v>
      </c>
      <c r="AI376" s="16">
        <v>0</v>
      </c>
      <c r="AJ376" s="16">
        <v>0</v>
      </c>
      <c r="AK376" s="16">
        <v>0</v>
      </c>
      <c r="AL376" s="16">
        <v>0</v>
      </c>
      <c r="AM376" s="16">
        <v>-1602</v>
      </c>
      <c r="AN376" s="16">
        <v>0</v>
      </c>
      <c r="AO376" s="16">
        <v>-1602</v>
      </c>
      <c r="AP376" s="16">
        <v>1602</v>
      </c>
      <c r="AQ376" s="5" t="s">
        <v>159</v>
      </c>
    </row>
    <row r="377" spans="1:43" x14ac:dyDescent="0.3">
      <c r="A377" s="9" t="s">
        <v>775</v>
      </c>
      <c r="B377" s="11" t="s">
        <v>774</v>
      </c>
      <c r="C377" s="16">
        <v>0</v>
      </c>
      <c r="D377" s="16">
        <v>0</v>
      </c>
      <c r="E377" s="16">
        <v>0</v>
      </c>
      <c r="F377" s="16">
        <v>0</v>
      </c>
      <c r="G377" s="16">
        <v>0</v>
      </c>
      <c r="H377" s="16">
        <v>0</v>
      </c>
      <c r="I377" s="16">
        <v>0</v>
      </c>
      <c r="J377" s="16">
        <v>-422</v>
      </c>
      <c r="K377" s="16">
        <v>0</v>
      </c>
      <c r="L377" s="16">
        <v>-5</v>
      </c>
      <c r="M377" s="16">
        <v>0</v>
      </c>
      <c r="N377" s="16">
        <v>-500</v>
      </c>
      <c r="O377" s="16">
        <v>-55</v>
      </c>
      <c r="P377" s="16">
        <v>0</v>
      </c>
      <c r="Q377" s="16">
        <v>-5.5</v>
      </c>
      <c r="R377" s="16">
        <v>-7</v>
      </c>
      <c r="S377" s="16">
        <v>-30</v>
      </c>
      <c r="T377" s="16">
        <v>0</v>
      </c>
      <c r="U377" s="16">
        <v>-2</v>
      </c>
      <c r="V377" s="16">
        <v>-55</v>
      </c>
      <c r="W377" s="16">
        <v>0</v>
      </c>
      <c r="X377" s="16">
        <v>-500</v>
      </c>
      <c r="Y377" s="16">
        <v>-3.75</v>
      </c>
      <c r="Z377" s="16">
        <v>-16.25</v>
      </c>
      <c r="AA377" s="16">
        <v>-483.75</v>
      </c>
      <c r="AB377" s="16">
        <v>0</v>
      </c>
      <c r="AC377" s="16">
        <v>0</v>
      </c>
      <c r="AD377" s="16">
        <v>-922</v>
      </c>
      <c r="AE377" s="16">
        <v>-915</v>
      </c>
      <c r="AF377" s="16">
        <v>0</v>
      </c>
      <c r="AG377" s="16">
        <v>0</v>
      </c>
      <c r="AH377" s="16">
        <v>0</v>
      </c>
      <c r="AI377" s="16">
        <v>0</v>
      </c>
      <c r="AJ377" s="16">
        <v>0</v>
      </c>
      <c r="AK377" s="16">
        <v>0</v>
      </c>
      <c r="AL377" s="16">
        <v>0</v>
      </c>
      <c r="AM377" s="16">
        <v>0</v>
      </c>
      <c r="AN377" s="16">
        <v>0</v>
      </c>
      <c r="AO377" s="16">
        <v>0</v>
      </c>
      <c r="AP377" s="16">
        <v>0</v>
      </c>
      <c r="AQ377" s="5" t="s">
        <v>159</v>
      </c>
    </row>
    <row r="378" spans="1:43" x14ac:dyDescent="0.3">
      <c r="A378" s="9" t="s">
        <v>777</v>
      </c>
      <c r="B378" s="11" t="s">
        <v>776</v>
      </c>
      <c r="C378" s="16">
        <v>924</v>
      </c>
      <c r="D378" s="16">
        <v>504</v>
      </c>
      <c r="E378" s="16">
        <v>84</v>
      </c>
      <c r="F378" s="16">
        <v>118</v>
      </c>
      <c r="G378" s="16">
        <v>50</v>
      </c>
      <c r="H378" s="16">
        <v>0</v>
      </c>
      <c r="I378" s="16">
        <v>0</v>
      </c>
      <c r="J378" s="16">
        <v>2609</v>
      </c>
      <c r="K378" s="16">
        <v>0</v>
      </c>
      <c r="L378" s="16">
        <v>23</v>
      </c>
      <c r="M378" s="16">
        <v>0</v>
      </c>
      <c r="N378" s="16">
        <v>0</v>
      </c>
      <c r="O378" s="16">
        <v>105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105</v>
      </c>
      <c r="W378" s="16">
        <v>1176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482</v>
      </c>
      <c r="AD378" s="16">
        <v>2609</v>
      </c>
      <c r="AE378" s="16">
        <v>2609</v>
      </c>
      <c r="AF378" s="16">
        <v>2162</v>
      </c>
      <c r="AG378" s="16">
        <v>142</v>
      </c>
      <c r="AH378" s="16">
        <v>0</v>
      </c>
      <c r="AI378" s="16">
        <v>0</v>
      </c>
      <c r="AJ378" s="16">
        <v>0</v>
      </c>
      <c r="AK378" s="16">
        <v>0</v>
      </c>
      <c r="AL378" s="16">
        <v>0</v>
      </c>
      <c r="AM378" s="16">
        <v>-2403</v>
      </c>
      <c r="AN378" s="16">
        <v>0</v>
      </c>
      <c r="AO378" s="16">
        <v>-2261</v>
      </c>
      <c r="AP378" s="16">
        <v>4423</v>
      </c>
      <c r="AQ378" s="5" t="s">
        <v>159</v>
      </c>
    </row>
    <row r="379" spans="1:43" x14ac:dyDescent="0.3">
      <c r="A379" s="9" t="s">
        <v>779</v>
      </c>
      <c r="B379" s="11" t="s">
        <v>778</v>
      </c>
      <c r="C379" s="16">
        <v>0</v>
      </c>
      <c r="D379" s="16">
        <v>0</v>
      </c>
      <c r="E379" s="16">
        <v>0</v>
      </c>
      <c r="F379" s="16">
        <v>0</v>
      </c>
      <c r="G379" s="16">
        <v>0</v>
      </c>
      <c r="H379" s="16">
        <v>0</v>
      </c>
      <c r="I379" s="16">
        <v>0</v>
      </c>
      <c r="J379" s="16">
        <v>284</v>
      </c>
      <c r="K379" s="16">
        <v>0</v>
      </c>
      <c r="L379" s="16">
        <v>2.5</v>
      </c>
      <c r="M379" s="16">
        <v>0</v>
      </c>
      <c r="N379" s="16">
        <v>0</v>
      </c>
      <c r="O379" s="16">
        <v>9</v>
      </c>
      <c r="P379" s="16">
        <v>0</v>
      </c>
      <c r="Q379" s="16">
        <v>0.5</v>
      </c>
      <c r="R379" s="16">
        <v>0</v>
      </c>
      <c r="S379" s="16">
        <v>0</v>
      </c>
      <c r="T379" s="16">
        <v>0</v>
      </c>
      <c r="U379" s="16">
        <v>0</v>
      </c>
      <c r="V379" s="16">
        <v>9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-1500</v>
      </c>
      <c r="AC379" s="16">
        <v>0</v>
      </c>
      <c r="AD379" s="16">
        <v>-1216</v>
      </c>
      <c r="AE379" s="16">
        <v>-1216</v>
      </c>
      <c r="AF379" s="16">
        <v>0</v>
      </c>
      <c r="AG379" s="16">
        <v>0</v>
      </c>
      <c r="AH379" s="16">
        <v>0</v>
      </c>
      <c r="AI379" s="16">
        <v>0</v>
      </c>
      <c r="AJ379" s="16">
        <v>0</v>
      </c>
      <c r="AK379" s="16">
        <v>0</v>
      </c>
      <c r="AL379" s="16">
        <v>0</v>
      </c>
      <c r="AM379" s="16">
        <v>-2403</v>
      </c>
      <c r="AN379" s="16">
        <v>0</v>
      </c>
      <c r="AO379" s="16">
        <v>-2403</v>
      </c>
      <c r="AP379" s="16">
        <v>2403</v>
      </c>
      <c r="AQ379" s="5" t="s">
        <v>159</v>
      </c>
    </row>
    <row r="380" spans="1:43" x14ac:dyDescent="0.3">
      <c r="A380" s="9" t="s">
        <v>781</v>
      </c>
      <c r="B380" s="11" t="s">
        <v>780</v>
      </c>
      <c r="C380" s="16">
        <v>0</v>
      </c>
      <c r="D380" s="16">
        <v>0</v>
      </c>
      <c r="E380" s="16">
        <v>0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-59</v>
      </c>
      <c r="P380" s="16">
        <v>0</v>
      </c>
      <c r="Q380" s="16">
        <v>-1.5</v>
      </c>
      <c r="R380" s="16">
        <v>0</v>
      </c>
      <c r="S380" s="16">
        <v>0</v>
      </c>
      <c r="T380" s="16">
        <v>0</v>
      </c>
      <c r="U380" s="16">
        <v>0</v>
      </c>
      <c r="V380" s="16">
        <v>-59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0</v>
      </c>
      <c r="AF380" s="16">
        <v>0</v>
      </c>
      <c r="AG380" s="16">
        <v>0</v>
      </c>
      <c r="AH380" s="16">
        <v>0</v>
      </c>
      <c r="AI380" s="16">
        <v>0</v>
      </c>
      <c r="AJ380" s="16">
        <v>0</v>
      </c>
      <c r="AK380" s="16">
        <v>0</v>
      </c>
      <c r="AL380" s="16">
        <v>0</v>
      </c>
      <c r="AM380" s="16">
        <v>-2403</v>
      </c>
      <c r="AN380" s="16">
        <v>0</v>
      </c>
      <c r="AO380" s="16">
        <v>-2403</v>
      </c>
      <c r="AP380" s="16">
        <v>2403</v>
      </c>
      <c r="AQ380" s="5" t="s">
        <v>159</v>
      </c>
    </row>
    <row r="381" spans="1:43" x14ac:dyDescent="0.3">
      <c r="A381" s="9" t="s">
        <v>783</v>
      </c>
      <c r="B381" s="11" t="s">
        <v>782</v>
      </c>
      <c r="C381" s="16">
        <v>0</v>
      </c>
      <c r="D381" s="16">
        <v>0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2369</v>
      </c>
      <c r="K381" s="16">
        <v>0</v>
      </c>
      <c r="L381" s="16">
        <v>14</v>
      </c>
      <c r="M381" s="16">
        <v>0</v>
      </c>
      <c r="N381" s="16">
        <v>0</v>
      </c>
      <c r="O381" s="16">
        <v>59</v>
      </c>
      <c r="P381" s="16">
        <v>0</v>
      </c>
      <c r="Q381" s="16">
        <v>3</v>
      </c>
      <c r="R381" s="16">
        <v>0</v>
      </c>
      <c r="S381" s="16">
        <v>0</v>
      </c>
      <c r="T381" s="16">
        <v>0</v>
      </c>
      <c r="U381" s="16">
        <v>0</v>
      </c>
      <c r="V381" s="16">
        <v>59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2369</v>
      </c>
      <c r="AE381" s="16">
        <v>2369</v>
      </c>
      <c r="AF381" s="16">
        <v>0</v>
      </c>
      <c r="AG381" s="16">
        <v>0</v>
      </c>
      <c r="AH381" s="16">
        <v>0</v>
      </c>
      <c r="AI381" s="16">
        <v>0</v>
      </c>
      <c r="AJ381" s="16">
        <v>0</v>
      </c>
      <c r="AK381" s="16">
        <v>0</v>
      </c>
      <c r="AL381" s="16">
        <v>0</v>
      </c>
      <c r="AM381" s="16">
        <v>-2403</v>
      </c>
      <c r="AN381" s="16">
        <v>-100</v>
      </c>
      <c r="AO381" s="16">
        <v>-2503</v>
      </c>
      <c r="AP381" s="16">
        <v>2503</v>
      </c>
      <c r="AQ381" s="5" t="s">
        <v>159</v>
      </c>
    </row>
    <row r="382" spans="1:43" x14ac:dyDescent="0.3">
      <c r="A382" s="9" t="s">
        <v>785</v>
      </c>
      <c r="B382" s="11" t="s">
        <v>784</v>
      </c>
      <c r="C382" s="16">
        <v>0</v>
      </c>
      <c r="D382" s="16">
        <v>0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73</v>
      </c>
      <c r="P382" s="16">
        <v>0</v>
      </c>
      <c r="Q382" s="16">
        <v>5</v>
      </c>
      <c r="R382" s="16">
        <v>0</v>
      </c>
      <c r="S382" s="16">
        <v>0</v>
      </c>
      <c r="T382" s="16">
        <v>0</v>
      </c>
      <c r="U382" s="16">
        <v>0</v>
      </c>
      <c r="V382" s="16">
        <v>73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0</v>
      </c>
      <c r="AF382" s="16">
        <v>0</v>
      </c>
      <c r="AG382" s="16">
        <v>0</v>
      </c>
      <c r="AH382" s="16">
        <v>0</v>
      </c>
      <c r="AI382" s="16">
        <v>0</v>
      </c>
      <c r="AJ382" s="16">
        <v>0</v>
      </c>
      <c r="AK382" s="16">
        <v>0</v>
      </c>
      <c r="AL382" s="16">
        <v>0</v>
      </c>
      <c r="AM382" s="16">
        <v>-2403</v>
      </c>
      <c r="AN382" s="16">
        <v>0</v>
      </c>
      <c r="AO382" s="16">
        <v>-2403</v>
      </c>
      <c r="AP382" s="16">
        <v>2403</v>
      </c>
      <c r="AQ382" s="5" t="s">
        <v>159</v>
      </c>
    </row>
    <row r="383" spans="1:43" x14ac:dyDescent="0.3">
      <c r="A383" s="9" t="s">
        <v>787</v>
      </c>
      <c r="B383" s="11" t="s">
        <v>786</v>
      </c>
      <c r="C383" s="16">
        <v>2981</v>
      </c>
      <c r="D383" s="16">
        <v>1626</v>
      </c>
      <c r="E383" s="16">
        <v>271</v>
      </c>
      <c r="F383" s="16">
        <v>379</v>
      </c>
      <c r="G383" s="16">
        <v>163</v>
      </c>
      <c r="H383" s="16">
        <v>0</v>
      </c>
      <c r="I383" s="16">
        <v>884.54</v>
      </c>
      <c r="J383" s="16">
        <v>1015</v>
      </c>
      <c r="K383" s="16">
        <v>6843</v>
      </c>
      <c r="L383" s="16">
        <v>12</v>
      </c>
      <c r="M383" s="16">
        <v>0</v>
      </c>
      <c r="N383" s="16">
        <v>-500</v>
      </c>
      <c r="O383" s="16">
        <v>337</v>
      </c>
      <c r="P383" s="16">
        <v>500</v>
      </c>
      <c r="Q383" s="16">
        <v>9</v>
      </c>
      <c r="R383" s="16">
        <v>15</v>
      </c>
      <c r="S383" s="16">
        <v>62</v>
      </c>
      <c r="T383" s="16">
        <v>2</v>
      </c>
      <c r="U383" s="16">
        <v>11</v>
      </c>
      <c r="V383" s="16">
        <v>335</v>
      </c>
      <c r="W383" s="16">
        <v>3794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1423</v>
      </c>
      <c r="AD383" s="16">
        <v>1900</v>
      </c>
      <c r="AE383" s="16">
        <v>1885</v>
      </c>
      <c r="AF383" s="16">
        <v>6843</v>
      </c>
      <c r="AG383" s="16">
        <v>455</v>
      </c>
      <c r="AH383" s="16">
        <v>52</v>
      </c>
      <c r="AI383" s="16">
        <v>37</v>
      </c>
      <c r="AJ383" s="16">
        <v>0</v>
      </c>
      <c r="AK383" s="16">
        <v>0</v>
      </c>
      <c r="AL383" s="16">
        <v>0</v>
      </c>
      <c r="AM383" s="16">
        <v>0</v>
      </c>
      <c r="AN383" s="16">
        <v>0</v>
      </c>
      <c r="AO383" s="16">
        <v>544</v>
      </c>
      <c r="AP383" s="16">
        <v>6299</v>
      </c>
      <c r="AQ383" s="5" t="s">
        <v>159</v>
      </c>
    </row>
    <row r="384" spans="1:43" x14ac:dyDescent="0.3">
      <c r="A384" s="9" t="s">
        <v>789</v>
      </c>
      <c r="B384" s="11" t="s">
        <v>788</v>
      </c>
      <c r="C384" s="16">
        <v>0</v>
      </c>
      <c r="D384" s="16">
        <v>0</v>
      </c>
      <c r="E384" s="16">
        <v>0</v>
      </c>
      <c r="F384" s="16">
        <v>0</v>
      </c>
      <c r="G384" s="16">
        <v>0</v>
      </c>
      <c r="H384" s="16">
        <v>0</v>
      </c>
      <c r="I384" s="16">
        <v>0</v>
      </c>
      <c r="J384" s="16">
        <v>-569</v>
      </c>
      <c r="K384" s="16">
        <v>0</v>
      </c>
      <c r="L384" s="16">
        <v>-3</v>
      </c>
      <c r="M384" s="16">
        <v>0</v>
      </c>
      <c r="N384" s="16">
        <v>0</v>
      </c>
      <c r="O384" s="16">
        <v>70</v>
      </c>
      <c r="P384" s="16">
        <v>0</v>
      </c>
      <c r="Q384" s="16">
        <v>2.5</v>
      </c>
      <c r="R384" s="16">
        <v>0</v>
      </c>
      <c r="S384" s="16">
        <v>0</v>
      </c>
      <c r="T384" s="16">
        <v>0</v>
      </c>
      <c r="U384" s="16">
        <v>0</v>
      </c>
      <c r="V384" s="16">
        <v>70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  <c r="AC384" s="16">
        <v>0</v>
      </c>
      <c r="AD384" s="16">
        <v>-569</v>
      </c>
      <c r="AE384" s="16">
        <v>-569</v>
      </c>
      <c r="AF384" s="16">
        <v>0</v>
      </c>
      <c r="AG384" s="16">
        <v>0</v>
      </c>
      <c r="AH384" s="16">
        <v>0</v>
      </c>
      <c r="AI384" s="16">
        <v>0</v>
      </c>
      <c r="AJ384" s="16">
        <v>0</v>
      </c>
      <c r="AK384" s="16">
        <v>0</v>
      </c>
      <c r="AL384" s="16">
        <v>0</v>
      </c>
      <c r="AM384" s="16">
        <v>-2403</v>
      </c>
      <c r="AN384" s="16">
        <v>0</v>
      </c>
      <c r="AO384" s="16">
        <v>-2403</v>
      </c>
      <c r="AP384" s="16">
        <v>2403</v>
      </c>
      <c r="AQ384" s="5" t="s">
        <v>159</v>
      </c>
    </row>
    <row r="385" spans="1:43" x14ac:dyDescent="0.3">
      <c r="A385" s="9" t="s">
        <v>791</v>
      </c>
      <c r="B385" s="11" t="s">
        <v>790</v>
      </c>
      <c r="C385" s="16">
        <v>0</v>
      </c>
      <c r="D385" s="16">
        <v>0</v>
      </c>
      <c r="E385" s="16">
        <v>0</v>
      </c>
      <c r="F385" s="16">
        <v>0</v>
      </c>
      <c r="G385" s="16">
        <v>0</v>
      </c>
      <c r="H385" s="16">
        <v>-1000</v>
      </c>
      <c r="I385" s="16">
        <v>-76.459999999999994</v>
      </c>
      <c r="J385" s="16">
        <v>3919</v>
      </c>
      <c r="K385" s="16">
        <v>0</v>
      </c>
      <c r="L385" s="16">
        <v>33.5</v>
      </c>
      <c r="M385" s="16">
        <v>0</v>
      </c>
      <c r="N385" s="16">
        <v>500</v>
      </c>
      <c r="O385" s="16">
        <v>77</v>
      </c>
      <c r="P385" s="16">
        <v>500</v>
      </c>
      <c r="Q385" s="16">
        <v>5</v>
      </c>
      <c r="R385" s="16">
        <v>0</v>
      </c>
      <c r="S385" s="16">
        <v>0</v>
      </c>
      <c r="T385" s="16">
        <v>0</v>
      </c>
      <c r="U385" s="16">
        <v>0</v>
      </c>
      <c r="V385" s="16">
        <v>77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3843</v>
      </c>
      <c r="AE385" s="16">
        <v>3843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-801</v>
      </c>
      <c r="AN385" s="16">
        <v>0</v>
      </c>
      <c r="AO385" s="16">
        <v>-801</v>
      </c>
      <c r="AP385" s="16">
        <v>801</v>
      </c>
      <c r="AQ385" s="5" t="s">
        <v>159</v>
      </c>
    </row>
    <row r="386" spans="1:43" x14ac:dyDescent="0.3">
      <c r="A386" s="9" t="s">
        <v>793</v>
      </c>
      <c r="B386" s="11" t="s">
        <v>792</v>
      </c>
      <c r="C386" s="16">
        <v>-4203</v>
      </c>
      <c r="D386" s="16">
        <v>-2292</v>
      </c>
      <c r="E386" s="16">
        <v>-383</v>
      </c>
      <c r="F386" s="16">
        <v>-535</v>
      </c>
      <c r="G386" s="16">
        <v>-229</v>
      </c>
      <c r="H386" s="16">
        <v>0</v>
      </c>
      <c r="I386" s="16">
        <v>0</v>
      </c>
      <c r="J386" s="16">
        <v>-5089</v>
      </c>
      <c r="K386" s="16">
        <v>0</v>
      </c>
      <c r="L386" s="16">
        <v>-32.5</v>
      </c>
      <c r="M386" s="16">
        <v>0</v>
      </c>
      <c r="N386" s="16">
        <v>0</v>
      </c>
      <c r="O386" s="16">
        <v>-301</v>
      </c>
      <c r="P386" s="16">
        <v>0</v>
      </c>
      <c r="Q386" s="16">
        <v>10</v>
      </c>
      <c r="R386" s="16">
        <v>0</v>
      </c>
      <c r="S386" s="16">
        <v>0</v>
      </c>
      <c r="T386" s="16">
        <v>0</v>
      </c>
      <c r="U386" s="16">
        <v>0</v>
      </c>
      <c r="V386" s="16">
        <v>-301</v>
      </c>
      <c r="W386" s="16">
        <v>-5348.9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-2993</v>
      </c>
      <c r="AD386" s="16">
        <v>-5089</v>
      </c>
      <c r="AE386" s="16">
        <v>-5089</v>
      </c>
      <c r="AF386" s="16">
        <v>-10635</v>
      </c>
      <c r="AG386" s="16">
        <v>-642</v>
      </c>
      <c r="AH386" s="16">
        <v>0</v>
      </c>
      <c r="AI386" s="16">
        <v>0</v>
      </c>
      <c r="AJ386" s="16">
        <v>0</v>
      </c>
      <c r="AK386" s="16">
        <v>-155</v>
      </c>
      <c r="AL386" s="16">
        <v>0</v>
      </c>
      <c r="AM386" s="16">
        <v>-3204</v>
      </c>
      <c r="AN386" s="16">
        <v>0</v>
      </c>
      <c r="AO386" s="16">
        <v>-4001</v>
      </c>
      <c r="AP386" s="16">
        <v>-6634</v>
      </c>
      <c r="AQ386" s="5" t="s">
        <v>159</v>
      </c>
    </row>
    <row r="387" spans="1:43" x14ac:dyDescent="0.3">
      <c r="A387" s="9" t="s">
        <v>795</v>
      </c>
      <c r="B387" s="11" t="s">
        <v>794</v>
      </c>
      <c r="C387" s="16">
        <v>21214</v>
      </c>
      <c r="D387" s="16">
        <v>11571</v>
      </c>
      <c r="E387" s="16">
        <v>1929</v>
      </c>
      <c r="F387" s="16">
        <v>2700</v>
      </c>
      <c r="G387" s="16">
        <v>1157</v>
      </c>
      <c r="H387" s="16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0</v>
      </c>
      <c r="N387" s="16">
        <v>0</v>
      </c>
      <c r="O387" s="16">
        <v>2337</v>
      </c>
      <c r="P387" s="16">
        <v>0</v>
      </c>
      <c r="Q387" s="16">
        <v>-1</v>
      </c>
      <c r="R387" s="16">
        <v>0</v>
      </c>
      <c r="S387" s="16">
        <v>0</v>
      </c>
      <c r="T387" s="16">
        <v>0</v>
      </c>
      <c r="U387" s="16">
        <v>0</v>
      </c>
      <c r="V387" s="16">
        <v>2337</v>
      </c>
      <c r="W387" s="16">
        <v>10500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6">
        <v>10971</v>
      </c>
      <c r="AD387" s="16">
        <v>0</v>
      </c>
      <c r="AE387" s="16">
        <v>0</v>
      </c>
      <c r="AF387" s="16">
        <v>49542</v>
      </c>
      <c r="AG387" s="16">
        <v>1260</v>
      </c>
      <c r="AH387" s="16">
        <v>0</v>
      </c>
      <c r="AI387" s="16">
        <v>53</v>
      </c>
      <c r="AJ387" s="16">
        <v>0</v>
      </c>
      <c r="AK387" s="16">
        <v>514</v>
      </c>
      <c r="AL387" s="16">
        <v>0</v>
      </c>
      <c r="AM387" s="16">
        <v>0</v>
      </c>
      <c r="AN387" s="16">
        <v>0</v>
      </c>
      <c r="AO387" s="16">
        <v>1827</v>
      </c>
      <c r="AP387" s="16">
        <v>47715</v>
      </c>
      <c r="AQ387" s="5" t="s">
        <v>159</v>
      </c>
    </row>
    <row r="388" spans="1:43" x14ac:dyDescent="0.3">
      <c r="A388" s="9" t="s">
        <v>797</v>
      </c>
      <c r="B388" s="11" t="s">
        <v>796</v>
      </c>
      <c r="C388" s="16">
        <v>0</v>
      </c>
      <c r="D388" s="16">
        <v>0</v>
      </c>
      <c r="E388" s="16">
        <v>0</v>
      </c>
      <c r="F388" s="16">
        <v>0</v>
      </c>
      <c r="G388" s="16">
        <v>0</v>
      </c>
      <c r="H388" s="16">
        <v>0</v>
      </c>
      <c r="I388" s="16">
        <v>0</v>
      </c>
      <c r="J388" s="16">
        <v>1182</v>
      </c>
      <c r="K388" s="16">
        <v>0</v>
      </c>
      <c r="L388" s="16">
        <v>6</v>
      </c>
      <c r="M388" s="16">
        <v>0</v>
      </c>
      <c r="N388" s="16">
        <v>0</v>
      </c>
      <c r="O388" s="16">
        <v>192</v>
      </c>
      <c r="P388" s="16">
        <v>0</v>
      </c>
      <c r="Q388" s="16">
        <v>7.5</v>
      </c>
      <c r="R388" s="16">
        <v>0</v>
      </c>
      <c r="S388" s="16">
        <v>0</v>
      </c>
      <c r="T388" s="16">
        <v>0</v>
      </c>
      <c r="U388" s="16">
        <v>0</v>
      </c>
      <c r="V388" s="16">
        <v>192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0</v>
      </c>
      <c r="AD388" s="16">
        <v>1182</v>
      </c>
      <c r="AE388" s="16">
        <v>1182</v>
      </c>
      <c r="AF388" s="16">
        <v>0</v>
      </c>
      <c r="AG388" s="16">
        <v>0</v>
      </c>
      <c r="AH388" s="16">
        <v>0</v>
      </c>
      <c r="AI388" s="16">
        <v>0</v>
      </c>
      <c r="AJ388" s="16">
        <v>0</v>
      </c>
      <c r="AK388" s="16">
        <v>0</v>
      </c>
      <c r="AL388" s="16">
        <v>0</v>
      </c>
      <c r="AM388" s="16">
        <v>-1602</v>
      </c>
      <c r="AN388" s="16">
        <v>0</v>
      </c>
      <c r="AO388" s="16">
        <v>-1602</v>
      </c>
      <c r="AP388" s="16">
        <v>1602</v>
      </c>
      <c r="AQ388" s="5" t="s">
        <v>159</v>
      </c>
    </row>
    <row r="389" spans="1:43" x14ac:dyDescent="0.3">
      <c r="A389" s="9" t="s">
        <v>799</v>
      </c>
      <c r="B389" s="11" t="s">
        <v>798</v>
      </c>
      <c r="C389" s="16">
        <v>437</v>
      </c>
      <c r="D389" s="16">
        <v>239</v>
      </c>
      <c r="E389" s="16">
        <v>39</v>
      </c>
      <c r="F389" s="16">
        <v>55</v>
      </c>
      <c r="G389" s="16">
        <v>23</v>
      </c>
      <c r="H389" s="16">
        <v>0</v>
      </c>
      <c r="I389" s="16">
        <v>768.77</v>
      </c>
      <c r="J389" s="16">
        <v>1882</v>
      </c>
      <c r="K389" s="16">
        <v>0</v>
      </c>
      <c r="L389" s="16">
        <v>16</v>
      </c>
      <c r="M389" s="16">
        <v>0</v>
      </c>
      <c r="N389" s="16">
        <v>0</v>
      </c>
      <c r="O389" s="16">
        <v>108</v>
      </c>
      <c r="P389" s="16">
        <v>0</v>
      </c>
      <c r="Q389" s="16">
        <v>5</v>
      </c>
      <c r="R389" s="16">
        <v>0</v>
      </c>
      <c r="S389" s="16">
        <v>0</v>
      </c>
      <c r="T389" s="16">
        <v>0</v>
      </c>
      <c r="U389" s="16">
        <v>0</v>
      </c>
      <c r="V389" s="16">
        <v>108</v>
      </c>
      <c r="W389" s="16">
        <v>556.14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100</v>
      </c>
      <c r="AD389" s="16">
        <v>2651</v>
      </c>
      <c r="AE389" s="16">
        <v>2651</v>
      </c>
      <c r="AF389" s="16">
        <v>893</v>
      </c>
      <c r="AG389" s="16">
        <v>67</v>
      </c>
      <c r="AH389" s="16">
        <v>0</v>
      </c>
      <c r="AI389" s="16">
        <v>0</v>
      </c>
      <c r="AJ389" s="16">
        <v>0</v>
      </c>
      <c r="AK389" s="16">
        <v>0</v>
      </c>
      <c r="AL389" s="16">
        <v>0</v>
      </c>
      <c r="AM389" s="16">
        <v>-801</v>
      </c>
      <c r="AN389" s="16">
        <v>0</v>
      </c>
      <c r="AO389" s="16">
        <v>-734</v>
      </c>
      <c r="AP389" s="16">
        <v>1627</v>
      </c>
      <c r="AQ389" s="5" t="s">
        <v>159</v>
      </c>
    </row>
    <row r="390" spans="1:43" x14ac:dyDescent="0.3">
      <c r="A390" s="9" t="s">
        <v>801</v>
      </c>
      <c r="B390" s="11" t="s">
        <v>800</v>
      </c>
      <c r="C390" s="16">
        <v>0</v>
      </c>
      <c r="D390" s="16">
        <v>0</v>
      </c>
      <c r="E390" s="16">
        <v>0</v>
      </c>
      <c r="F390" s="16">
        <v>0</v>
      </c>
      <c r="G390" s="16">
        <v>0</v>
      </c>
      <c r="H390" s="16">
        <v>0</v>
      </c>
      <c r="I390" s="16">
        <v>0</v>
      </c>
      <c r="J390" s="16">
        <v>-7548</v>
      </c>
      <c r="K390" s="16">
        <v>0</v>
      </c>
      <c r="L390" s="16">
        <v>-46</v>
      </c>
      <c r="M390" s="16">
        <v>0</v>
      </c>
      <c r="N390" s="16">
        <v>0</v>
      </c>
      <c r="O390" s="16">
        <v>10</v>
      </c>
      <c r="P390" s="16">
        <v>-1000</v>
      </c>
      <c r="Q390" s="16">
        <v>0.5</v>
      </c>
      <c r="R390" s="16">
        <v>0</v>
      </c>
      <c r="S390" s="16">
        <v>0</v>
      </c>
      <c r="T390" s="16">
        <v>0</v>
      </c>
      <c r="U390" s="16">
        <v>0</v>
      </c>
      <c r="V390" s="16">
        <v>10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>
        <v>-8548</v>
      </c>
      <c r="AE390" s="16">
        <v>-8548</v>
      </c>
      <c r="AF390" s="16">
        <v>0</v>
      </c>
      <c r="AG390" s="16">
        <v>0</v>
      </c>
      <c r="AH390" s="16">
        <v>0</v>
      </c>
      <c r="AI390" s="16">
        <v>0</v>
      </c>
      <c r="AJ390" s="16">
        <v>0</v>
      </c>
      <c r="AK390" s="16">
        <v>0</v>
      </c>
      <c r="AL390" s="16">
        <v>0</v>
      </c>
      <c r="AM390" s="16">
        <v>-801</v>
      </c>
      <c r="AN390" s="16">
        <v>0</v>
      </c>
      <c r="AO390" s="16">
        <v>-801</v>
      </c>
      <c r="AP390" s="16">
        <v>801</v>
      </c>
      <c r="AQ390" s="5" t="s">
        <v>159</v>
      </c>
    </row>
    <row r="391" spans="1:43" x14ac:dyDescent="0.3">
      <c r="A391" s="9" t="s">
        <v>803</v>
      </c>
      <c r="B391" s="11" t="s">
        <v>802</v>
      </c>
      <c r="C391" s="16">
        <v>0</v>
      </c>
      <c r="D391" s="16">
        <v>0</v>
      </c>
      <c r="E391" s="16">
        <v>0</v>
      </c>
      <c r="F391" s="16">
        <v>0</v>
      </c>
      <c r="G391" s="16">
        <v>0</v>
      </c>
      <c r="H391" s="16">
        <v>0</v>
      </c>
      <c r="I391" s="16">
        <v>0</v>
      </c>
      <c r="J391" s="16">
        <v>0</v>
      </c>
      <c r="K391" s="16">
        <v>0</v>
      </c>
      <c r="L391" s="16">
        <v>0</v>
      </c>
      <c r="M391" s="16">
        <v>0</v>
      </c>
      <c r="N391" s="16">
        <v>0</v>
      </c>
      <c r="O391" s="16">
        <v>299</v>
      </c>
      <c r="P391" s="16">
        <v>0</v>
      </c>
      <c r="Q391" s="16">
        <v>14</v>
      </c>
      <c r="R391" s="16">
        <v>0</v>
      </c>
      <c r="S391" s="16">
        <v>0</v>
      </c>
      <c r="T391" s="16">
        <v>0</v>
      </c>
      <c r="U391" s="16">
        <v>0</v>
      </c>
      <c r="V391" s="16">
        <v>299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>
        <v>0</v>
      </c>
      <c r="AE391" s="16">
        <v>0</v>
      </c>
      <c r="AF391" s="16">
        <v>0</v>
      </c>
      <c r="AG391" s="16">
        <v>0</v>
      </c>
      <c r="AH391" s="16">
        <v>0</v>
      </c>
      <c r="AI391" s="16">
        <v>0</v>
      </c>
      <c r="AJ391" s="16">
        <v>0</v>
      </c>
      <c r="AK391" s="16">
        <v>0</v>
      </c>
      <c r="AL391" s="16">
        <v>0</v>
      </c>
      <c r="AM391" s="16">
        <v>-1602</v>
      </c>
      <c r="AN391" s="16">
        <v>0</v>
      </c>
      <c r="AO391" s="16">
        <v>-1602</v>
      </c>
      <c r="AP391" s="16">
        <v>1602</v>
      </c>
      <c r="AQ391" s="5" t="s">
        <v>159</v>
      </c>
    </row>
    <row r="392" spans="1:43" x14ac:dyDescent="0.3">
      <c r="A392" s="9" t="s">
        <v>805</v>
      </c>
      <c r="B392" s="11" t="s">
        <v>804</v>
      </c>
      <c r="C392" s="16">
        <v>347</v>
      </c>
      <c r="D392" s="16">
        <v>189</v>
      </c>
      <c r="E392" s="16">
        <v>32</v>
      </c>
      <c r="F392" s="16">
        <v>45</v>
      </c>
      <c r="G392" s="16">
        <v>19</v>
      </c>
      <c r="H392" s="16">
        <v>0</v>
      </c>
      <c r="I392" s="16">
        <v>0</v>
      </c>
      <c r="J392" s="16">
        <v>-3407</v>
      </c>
      <c r="K392" s="16">
        <v>745</v>
      </c>
      <c r="L392" s="16">
        <v>-36.5</v>
      </c>
      <c r="M392" s="16">
        <v>0</v>
      </c>
      <c r="N392" s="16">
        <v>0</v>
      </c>
      <c r="O392" s="16">
        <v>88</v>
      </c>
      <c r="P392" s="16">
        <v>-500</v>
      </c>
      <c r="Q392" s="16">
        <v>5</v>
      </c>
      <c r="R392" s="16">
        <v>-29</v>
      </c>
      <c r="S392" s="16">
        <v>-127</v>
      </c>
      <c r="T392" s="16">
        <v>0</v>
      </c>
      <c r="U392" s="16">
        <v>3</v>
      </c>
      <c r="V392" s="16">
        <v>88</v>
      </c>
      <c r="W392" s="16">
        <v>443</v>
      </c>
      <c r="X392" s="16">
        <v>-500</v>
      </c>
      <c r="Y392" s="16">
        <v>-3.75</v>
      </c>
      <c r="Z392" s="16">
        <v>-16.25</v>
      </c>
      <c r="AA392" s="16">
        <v>-483.75</v>
      </c>
      <c r="AB392" s="16">
        <v>0</v>
      </c>
      <c r="AC392" s="16">
        <v>113</v>
      </c>
      <c r="AD392" s="16">
        <v>-3907</v>
      </c>
      <c r="AE392" s="16">
        <v>-3878</v>
      </c>
      <c r="AF392" s="16">
        <v>745</v>
      </c>
      <c r="AG392" s="16">
        <v>53</v>
      </c>
      <c r="AH392" s="16">
        <v>6</v>
      </c>
      <c r="AI392" s="16">
        <v>0</v>
      </c>
      <c r="AJ392" s="16">
        <v>0</v>
      </c>
      <c r="AK392" s="16">
        <v>21</v>
      </c>
      <c r="AL392" s="16">
        <v>0</v>
      </c>
      <c r="AM392" s="16">
        <v>0</v>
      </c>
      <c r="AN392" s="16">
        <v>0</v>
      </c>
      <c r="AO392" s="16">
        <v>80</v>
      </c>
      <c r="AP392" s="16">
        <v>665</v>
      </c>
      <c r="AQ392" s="5" t="s">
        <v>159</v>
      </c>
    </row>
    <row r="393" spans="1:43" x14ac:dyDescent="0.3">
      <c r="A393" s="9" t="s">
        <v>807</v>
      </c>
      <c r="B393" s="11" t="s">
        <v>806</v>
      </c>
      <c r="C393" s="16">
        <v>313</v>
      </c>
      <c r="D393" s="16">
        <v>171</v>
      </c>
      <c r="E393" s="16">
        <v>29</v>
      </c>
      <c r="F393" s="16">
        <v>40</v>
      </c>
      <c r="G393" s="16">
        <v>17</v>
      </c>
      <c r="H393" s="16">
        <v>0</v>
      </c>
      <c r="I393" s="16">
        <v>0</v>
      </c>
      <c r="J393" s="16">
        <v>-1264</v>
      </c>
      <c r="K393" s="16">
        <v>570</v>
      </c>
      <c r="L393" s="16">
        <v>-15</v>
      </c>
      <c r="M393" s="16">
        <v>0</v>
      </c>
      <c r="N393" s="16">
        <v>0</v>
      </c>
      <c r="O393" s="16">
        <v>102</v>
      </c>
      <c r="P393" s="16">
        <v>0</v>
      </c>
      <c r="Q393" s="16">
        <v>10</v>
      </c>
      <c r="R393" s="16">
        <v>-9</v>
      </c>
      <c r="S393" s="16">
        <v>-41</v>
      </c>
      <c r="T393" s="16">
        <v>0</v>
      </c>
      <c r="U393" s="16">
        <v>3</v>
      </c>
      <c r="V393" s="16">
        <v>102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-1264</v>
      </c>
      <c r="AE393" s="16">
        <v>-1255</v>
      </c>
      <c r="AF393" s="16">
        <v>570</v>
      </c>
      <c r="AG393" s="16">
        <v>0</v>
      </c>
      <c r="AH393" s="16">
        <v>4</v>
      </c>
      <c r="AI393" s="16">
        <v>0</v>
      </c>
      <c r="AJ393" s="16">
        <v>0</v>
      </c>
      <c r="AK393" s="16">
        <v>21</v>
      </c>
      <c r="AL393" s="16">
        <v>0</v>
      </c>
      <c r="AM393" s="16">
        <v>0</v>
      </c>
      <c r="AN393" s="16">
        <v>0</v>
      </c>
      <c r="AO393" s="16">
        <v>25</v>
      </c>
      <c r="AP393" s="16">
        <v>545</v>
      </c>
      <c r="AQ393" s="5" t="s">
        <v>159</v>
      </c>
    </row>
    <row r="394" spans="1:43" x14ac:dyDescent="0.3">
      <c r="A394" s="9" t="s">
        <v>809</v>
      </c>
      <c r="B394" s="11" t="s">
        <v>808</v>
      </c>
      <c r="C394" s="16">
        <v>-462</v>
      </c>
      <c r="D394" s="16">
        <v>-252</v>
      </c>
      <c r="E394" s="16">
        <v>-42</v>
      </c>
      <c r="F394" s="16">
        <v>-59</v>
      </c>
      <c r="G394" s="16">
        <v>-25</v>
      </c>
      <c r="H394" s="16">
        <v>0</v>
      </c>
      <c r="I394" s="16">
        <v>0</v>
      </c>
      <c r="J394" s="16">
        <v>-1377</v>
      </c>
      <c r="K394" s="16">
        <v>0</v>
      </c>
      <c r="L394" s="16">
        <v>-10</v>
      </c>
      <c r="M394" s="16">
        <v>0</v>
      </c>
      <c r="N394" s="16">
        <v>500</v>
      </c>
      <c r="O394" s="16">
        <v>-222</v>
      </c>
      <c r="P394" s="16">
        <v>0</v>
      </c>
      <c r="Q394" s="16">
        <v>-10</v>
      </c>
      <c r="R394" s="16">
        <v>0</v>
      </c>
      <c r="S394" s="16">
        <v>0</v>
      </c>
      <c r="T394" s="16">
        <v>0</v>
      </c>
      <c r="U394" s="16">
        <v>0</v>
      </c>
      <c r="V394" s="16">
        <v>-222</v>
      </c>
      <c r="W394" s="16">
        <v>-588.03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-269</v>
      </c>
      <c r="AD394" s="16">
        <v>-877</v>
      </c>
      <c r="AE394" s="16">
        <v>-877</v>
      </c>
      <c r="AF394" s="16">
        <v>-1109</v>
      </c>
      <c r="AG394" s="16">
        <v>-70</v>
      </c>
      <c r="AH394" s="16">
        <v>0</v>
      </c>
      <c r="AI394" s="16">
        <v>0</v>
      </c>
      <c r="AJ394" s="16">
        <v>0</v>
      </c>
      <c r="AK394" s="16">
        <v>-19</v>
      </c>
      <c r="AL394" s="16">
        <v>0</v>
      </c>
      <c r="AM394" s="16">
        <v>-1602</v>
      </c>
      <c r="AN394" s="16">
        <v>0</v>
      </c>
      <c r="AO394" s="16">
        <v>-1691</v>
      </c>
      <c r="AP394" s="16">
        <v>582</v>
      </c>
      <c r="AQ394" s="5" t="s">
        <v>159</v>
      </c>
    </row>
    <row r="395" spans="1:43" x14ac:dyDescent="0.3">
      <c r="A395" s="9" t="s">
        <v>811</v>
      </c>
      <c r="B395" s="11" t="s">
        <v>810</v>
      </c>
      <c r="C395" s="16">
        <v>3105</v>
      </c>
      <c r="D395" s="16">
        <v>1694</v>
      </c>
      <c r="E395" s="16">
        <v>282</v>
      </c>
      <c r="F395" s="16">
        <v>395</v>
      </c>
      <c r="G395" s="16">
        <v>169</v>
      </c>
      <c r="H395" s="16">
        <v>0</v>
      </c>
      <c r="I395" s="16">
        <v>0</v>
      </c>
      <c r="J395" s="16">
        <v>737</v>
      </c>
      <c r="K395" s="16">
        <v>5645</v>
      </c>
      <c r="L395" s="16">
        <v>8</v>
      </c>
      <c r="M395" s="16">
        <v>0</v>
      </c>
      <c r="N395" s="16">
        <v>0</v>
      </c>
      <c r="O395" s="16">
        <v>293</v>
      </c>
      <c r="P395" s="16">
        <v>0</v>
      </c>
      <c r="Q395" s="16">
        <v>7.5</v>
      </c>
      <c r="R395" s="16">
        <v>6</v>
      </c>
      <c r="S395" s="16">
        <v>24</v>
      </c>
      <c r="T395" s="16">
        <v>2</v>
      </c>
      <c r="U395" s="16">
        <v>9</v>
      </c>
      <c r="V395" s="16">
        <v>291</v>
      </c>
      <c r="W395" s="16">
        <v>3951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  <c r="AC395" s="16">
        <v>0</v>
      </c>
      <c r="AD395" s="16">
        <v>737</v>
      </c>
      <c r="AE395" s="16">
        <v>731</v>
      </c>
      <c r="AF395" s="16">
        <v>5645</v>
      </c>
      <c r="AG395" s="16">
        <v>474</v>
      </c>
      <c r="AH395" s="16">
        <v>43</v>
      </c>
      <c r="AI395" s="16">
        <v>53</v>
      </c>
      <c r="AJ395" s="16">
        <v>0</v>
      </c>
      <c r="AK395" s="16">
        <v>195</v>
      </c>
      <c r="AL395" s="16">
        <v>0</v>
      </c>
      <c r="AM395" s="16">
        <v>0</v>
      </c>
      <c r="AN395" s="16">
        <v>0</v>
      </c>
      <c r="AO395" s="16">
        <v>765</v>
      </c>
      <c r="AP395" s="16">
        <v>4880</v>
      </c>
      <c r="AQ395" s="5" t="s">
        <v>159</v>
      </c>
    </row>
    <row r="396" spans="1:43" x14ac:dyDescent="0.3">
      <c r="A396" s="9" t="s">
        <v>813</v>
      </c>
      <c r="B396" s="11" t="s">
        <v>812</v>
      </c>
      <c r="C396" s="16">
        <v>0</v>
      </c>
      <c r="D396" s="16">
        <v>0</v>
      </c>
      <c r="E396" s="16">
        <v>0</v>
      </c>
      <c r="F396" s="16">
        <v>0</v>
      </c>
      <c r="G396" s="16">
        <v>0</v>
      </c>
      <c r="H396" s="16">
        <v>0</v>
      </c>
      <c r="I396" s="16">
        <v>-923.08</v>
      </c>
      <c r="J396" s="16">
        <v>1259</v>
      </c>
      <c r="K396" s="16">
        <v>0</v>
      </c>
      <c r="L396" s="16">
        <v>8</v>
      </c>
      <c r="M396" s="16">
        <v>0</v>
      </c>
      <c r="N396" s="16">
        <v>0</v>
      </c>
      <c r="O396" s="16">
        <v>95</v>
      </c>
      <c r="P396" s="16">
        <v>500</v>
      </c>
      <c r="Q396" s="16">
        <v>5</v>
      </c>
      <c r="R396" s="16">
        <v>0</v>
      </c>
      <c r="S396" s="16">
        <v>0</v>
      </c>
      <c r="T396" s="16">
        <v>0</v>
      </c>
      <c r="U396" s="16">
        <v>0</v>
      </c>
      <c r="V396" s="16">
        <v>95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  <c r="AC396" s="16">
        <v>0</v>
      </c>
      <c r="AD396" s="16">
        <v>836</v>
      </c>
      <c r="AE396" s="16">
        <v>836</v>
      </c>
      <c r="AF396" s="16">
        <v>0</v>
      </c>
      <c r="AG396" s="16">
        <v>0</v>
      </c>
      <c r="AH396" s="16">
        <v>0</v>
      </c>
      <c r="AI396" s="16">
        <v>0</v>
      </c>
      <c r="AJ396" s="16">
        <v>0</v>
      </c>
      <c r="AK396" s="16">
        <v>0</v>
      </c>
      <c r="AL396" s="16">
        <v>0</v>
      </c>
      <c r="AM396" s="16">
        <v>-3204</v>
      </c>
      <c r="AN396" s="16">
        <v>0</v>
      </c>
      <c r="AO396" s="16">
        <v>-3204</v>
      </c>
      <c r="AP396" s="16">
        <v>3204</v>
      </c>
      <c r="AQ396" s="5" t="s">
        <v>159</v>
      </c>
    </row>
    <row r="397" spans="1:43" x14ac:dyDescent="0.3">
      <c r="A397" s="9" t="s">
        <v>815</v>
      </c>
      <c r="B397" s="11" t="s">
        <v>814</v>
      </c>
      <c r="C397" s="16">
        <v>0</v>
      </c>
      <c r="D397" s="16">
        <v>0</v>
      </c>
      <c r="E397" s="16">
        <v>0</v>
      </c>
      <c r="F397" s="16">
        <v>0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-22</v>
      </c>
      <c r="P397" s="16">
        <v>0</v>
      </c>
      <c r="Q397" s="16">
        <v>-0.5</v>
      </c>
      <c r="R397" s="16">
        <v>0</v>
      </c>
      <c r="S397" s="16">
        <v>0</v>
      </c>
      <c r="T397" s="16">
        <v>0</v>
      </c>
      <c r="U397" s="16">
        <v>0</v>
      </c>
      <c r="V397" s="16">
        <v>-22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  <c r="AG397" s="16">
        <v>0</v>
      </c>
      <c r="AH397" s="16">
        <v>0</v>
      </c>
      <c r="AI397" s="16">
        <v>0</v>
      </c>
      <c r="AJ397" s="16">
        <v>0</v>
      </c>
      <c r="AK397" s="16">
        <v>0</v>
      </c>
      <c r="AL397" s="16">
        <v>0</v>
      </c>
      <c r="AM397" s="16">
        <v>-3204</v>
      </c>
      <c r="AN397" s="16">
        <v>0</v>
      </c>
      <c r="AO397" s="16">
        <v>-3204</v>
      </c>
      <c r="AP397" s="16">
        <v>3204</v>
      </c>
      <c r="AQ397" s="5" t="s">
        <v>159</v>
      </c>
    </row>
    <row r="398" spans="1:43" x14ac:dyDescent="0.3">
      <c r="A398" s="9" t="s">
        <v>817</v>
      </c>
      <c r="B398" s="11" t="s">
        <v>816</v>
      </c>
      <c r="C398" s="16">
        <v>0</v>
      </c>
      <c r="D398" s="16">
        <v>0</v>
      </c>
      <c r="E398" s="16">
        <v>0</v>
      </c>
      <c r="F398" s="16">
        <v>0</v>
      </c>
      <c r="G398" s="16">
        <v>0</v>
      </c>
      <c r="H398" s="16">
        <v>1000</v>
      </c>
      <c r="I398" s="16">
        <v>384.54</v>
      </c>
      <c r="J398" s="16">
        <v>4192</v>
      </c>
      <c r="K398" s="16">
        <v>0</v>
      </c>
      <c r="L398" s="16">
        <v>40</v>
      </c>
      <c r="M398" s="16">
        <v>0</v>
      </c>
      <c r="N398" s="16">
        <v>500</v>
      </c>
      <c r="O398" s="16">
        <v>107</v>
      </c>
      <c r="P398" s="16">
        <v>1000</v>
      </c>
      <c r="Q398" s="16">
        <v>9</v>
      </c>
      <c r="R398" s="16">
        <v>0</v>
      </c>
      <c r="S398" s="16">
        <v>0</v>
      </c>
      <c r="T398" s="16">
        <v>0</v>
      </c>
      <c r="U398" s="16">
        <v>0</v>
      </c>
      <c r="V398" s="16">
        <v>107</v>
      </c>
      <c r="W398" s="16">
        <v>0</v>
      </c>
      <c r="X398" s="16">
        <v>1500</v>
      </c>
      <c r="Y398" s="16">
        <v>11.25</v>
      </c>
      <c r="Z398" s="16">
        <v>48.75</v>
      </c>
      <c r="AA398" s="16">
        <v>1451.25</v>
      </c>
      <c r="AB398" s="16">
        <v>0</v>
      </c>
      <c r="AC398" s="16">
        <v>0</v>
      </c>
      <c r="AD398" s="16">
        <v>7077</v>
      </c>
      <c r="AE398" s="16">
        <v>7077</v>
      </c>
      <c r="AF398" s="16">
        <v>0</v>
      </c>
      <c r="AG398" s="16">
        <v>0</v>
      </c>
      <c r="AH398" s="16">
        <v>0</v>
      </c>
      <c r="AI398" s="16">
        <v>0</v>
      </c>
      <c r="AJ398" s="16">
        <v>0</v>
      </c>
      <c r="AK398" s="16">
        <v>0</v>
      </c>
      <c r="AL398" s="16">
        <v>0</v>
      </c>
      <c r="AM398" s="16">
        <v>0</v>
      </c>
      <c r="AN398" s="16">
        <v>0</v>
      </c>
      <c r="AO398" s="16">
        <v>0</v>
      </c>
      <c r="AP398" s="16">
        <v>0</v>
      </c>
      <c r="AQ398" s="5" t="s">
        <v>159</v>
      </c>
    </row>
    <row r="399" spans="1:43" x14ac:dyDescent="0.3">
      <c r="A399" s="9" t="s">
        <v>819</v>
      </c>
      <c r="B399" s="11" t="s">
        <v>818</v>
      </c>
      <c r="C399" s="16">
        <v>2406</v>
      </c>
      <c r="D399" s="16">
        <v>1312</v>
      </c>
      <c r="E399" s="16">
        <v>219</v>
      </c>
      <c r="F399" s="16">
        <v>306</v>
      </c>
      <c r="G399" s="16">
        <v>131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0</v>
      </c>
      <c r="O399" s="16">
        <v>286</v>
      </c>
      <c r="P399" s="16">
        <v>0</v>
      </c>
      <c r="Q399" s="16">
        <v>2</v>
      </c>
      <c r="R399" s="16">
        <v>0</v>
      </c>
      <c r="S399" s="16">
        <v>0</v>
      </c>
      <c r="T399" s="16">
        <v>0</v>
      </c>
      <c r="U399" s="16">
        <v>0</v>
      </c>
      <c r="V399" s="16">
        <v>286</v>
      </c>
      <c r="W399" s="16">
        <v>3061.43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654</v>
      </c>
      <c r="AD399" s="16">
        <v>0</v>
      </c>
      <c r="AE399" s="16">
        <v>0</v>
      </c>
      <c r="AF399" s="16">
        <v>5028</v>
      </c>
      <c r="AG399" s="16">
        <v>368</v>
      </c>
      <c r="AH399" s="16">
        <v>0</v>
      </c>
      <c r="AI399" s="16">
        <v>0</v>
      </c>
      <c r="AJ399" s="16">
        <v>0</v>
      </c>
      <c r="AK399" s="16">
        <v>0</v>
      </c>
      <c r="AL399" s="16">
        <v>0</v>
      </c>
      <c r="AM399" s="16">
        <v>-2403</v>
      </c>
      <c r="AN399" s="16">
        <v>0</v>
      </c>
      <c r="AO399" s="16">
        <v>-2035</v>
      </c>
      <c r="AP399" s="16">
        <v>7063</v>
      </c>
      <c r="AQ399" s="5" t="s">
        <v>159</v>
      </c>
    </row>
    <row r="400" spans="1:43" x14ac:dyDescent="0.3">
      <c r="A400" s="9" t="s">
        <v>821</v>
      </c>
      <c r="B400" s="11" t="s">
        <v>820</v>
      </c>
      <c r="C400" s="16">
        <v>0</v>
      </c>
      <c r="D400" s="16">
        <v>0</v>
      </c>
      <c r="E400" s="16">
        <v>0</v>
      </c>
      <c r="F400" s="16">
        <v>0</v>
      </c>
      <c r="G400" s="16">
        <v>0</v>
      </c>
      <c r="H400" s="16">
        <v>0</v>
      </c>
      <c r="I400" s="16">
        <v>-341.04</v>
      </c>
      <c r="J400" s="16">
        <v>1305</v>
      </c>
      <c r="K400" s="16">
        <v>0</v>
      </c>
      <c r="L400" s="16">
        <v>11.5</v>
      </c>
      <c r="M400" s="16">
        <v>0</v>
      </c>
      <c r="N400" s="16">
        <v>0</v>
      </c>
      <c r="O400" s="16">
        <v>221</v>
      </c>
      <c r="P400" s="16">
        <v>0</v>
      </c>
      <c r="Q400" s="16">
        <v>10</v>
      </c>
      <c r="R400" s="16">
        <v>0</v>
      </c>
      <c r="S400" s="16">
        <v>0</v>
      </c>
      <c r="T400" s="16">
        <v>0</v>
      </c>
      <c r="U400" s="16">
        <v>0</v>
      </c>
      <c r="V400" s="16">
        <v>221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964</v>
      </c>
      <c r="AE400" s="16">
        <v>964</v>
      </c>
      <c r="AF400" s="16">
        <v>0</v>
      </c>
      <c r="AG400" s="16">
        <v>0</v>
      </c>
      <c r="AH400" s="16">
        <v>0</v>
      </c>
      <c r="AI400" s="16">
        <v>0</v>
      </c>
      <c r="AJ400" s="16">
        <v>0</v>
      </c>
      <c r="AK400" s="16">
        <v>0</v>
      </c>
      <c r="AL400" s="16">
        <v>0</v>
      </c>
      <c r="AM400" s="16">
        <v>-4005</v>
      </c>
      <c r="AN400" s="16">
        <v>0</v>
      </c>
      <c r="AO400" s="16">
        <v>-4005</v>
      </c>
      <c r="AP400" s="16">
        <v>4005</v>
      </c>
      <c r="AQ400" s="5" t="s">
        <v>159</v>
      </c>
    </row>
    <row r="401" spans="1:43" x14ac:dyDescent="0.3">
      <c r="A401" s="9" t="s">
        <v>823</v>
      </c>
      <c r="B401" s="11" t="s">
        <v>822</v>
      </c>
      <c r="C401" s="16">
        <v>-339</v>
      </c>
      <c r="D401" s="16">
        <v>-186</v>
      </c>
      <c r="E401" s="16">
        <v>-31</v>
      </c>
      <c r="F401" s="16">
        <v>-43</v>
      </c>
      <c r="G401" s="16">
        <v>-19</v>
      </c>
      <c r="H401" s="16">
        <v>-1000</v>
      </c>
      <c r="I401" s="16">
        <v>154.08000000000001</v>
      </c>
      <c r="J401" s="16">
        <v>1622</v>
      </c>
      <c r="K401" s="16">
        <v>0</v>
      </c>
      <c r="L401" s="16">
        <v>16</v>
      </c>
      <c r="M401" s="16">
        <v>0</v>
      </c>
      <c r="N401" s="16">
        <v>500</v>
      </c>
      <c r="O401" s="16">
        <v>-221</v>
      </c>
      <c r="P401" s="16">
        <v>0</v>
      </c>
      <c r="Q401" s="16">
        <v>-16</v>
      </c>
      <c r="R401" s="16">
        <v>0</v>
      </c>
      <c r="S401" s="16">
        <v>0</v>
      </c>
      <c r="T401" s="16">
        <v>0</v>
      </c>
      <c r="U401" s="16">
        <v>0</v>
      </c>
      <c r="V401" s="16">
        <v>-221</v>
      </c>
      <c r="W401" s="16">
        <v>-432</v>
      </c>
      <c r="X401" s="16">
        <v>500</v>
      </c>
      <c r="Y401" s="16">
        <v>3.75</v>
      </c>
      <c r="Z401" s="16">
        <v>16.25</v>
      </c>
      <c r="AA401" s="16">
        <v>483.75</v>
      </c>
      <c r="AB401" s="16">
        <v>0</v>
      </c>
      <c r="AC401" s="16">
        <v>-124</v>
      </c>
      <c r="AD401" s="16">
        <v>1276</v>
      </c>
      <c r="AE401" s="16">
        <v>1276</v>
      </c>
      <c r="AF401" s="16">
        <v>-742</v>
      </c>
      <c r="AG401" s="16">
        <v>-52</v>
      </c>
      <c r="AH401" s="16">
        <v>0</v>
      </c>
      <c r="AI401" s="16">
        <v>0</v>
      </c>
      <c r="AJ401" s="16">
        <v>0</v>
      </c>
      <c r="AK401" s="16">
        <v>-19</v>
      </c>
      <c r="AL401" s="16">
        <v>0</v>
      </c>
      <c r="AM401" s="16">
        <v>-801</v>
      </c>
      <c r="AN401" s="16">
        <v>0</v>
      </c>
      <c r="AO401" s="16">
        <v>-872</v>
      </c>
      <c r="AP401" s="16">
        <v>130</v>
      </c>
      <c r="AQ401" s="5" t="s">
        <v>159</v>
      </c>
    </row>
    <row r="402" spans="1:43" x14ac:dyDescent="0.3">
      <c r="A402" s="9" t="s">
        <v>825</v>
      </c>
      <c r="B402" s="11" t="s">
        <v>824</v>
      </c>
      <c r="C402" s="16">
        <v>422</v>
      </c>
      <c r="D402" s="16">
        <v>230</v>
      </c>
      <c r="E402" s="16">
        <v>39</v>
      </c>
      <c r="F402" s="16">
        <v>54</v>
      </c>
      <c r="G402" s="16">
        <v>23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0</v>
      </c>
      <c r="O402" s="16">
        <v>202</v>
      </c>
      <c r="P402" s="16">
        <v>0</v>
      </c>
      <c r="Q402" s="16">
        <v>9.5</v>
      </c>
      <c r="R402" s="16">
        <v>0</v>
      </c>
      <c r="S402" s="16">
        <v>0</v>
      </c>
      <c r="T402" s="16">
        <v>0</v>
      </c>
      <c r="U402" s="16">
        <v>0</v>
      </c>
      <c r="V402" s="16">
        <v>202</v>
      </c>
      <c r="W402" s="16">
        <v>521</v>
      </c>
      <c r="X402" s="16">
        <v>0</v>
      </c>
      <c r="Y402" s="16">
        <v>0</v>
      </c>
      <c r="Z402" s="16">
        <v>0</v>
      </c>
      <c r="AA402" s="16">
        <v>0</v>
      </c>
      <c r="AB402" s="16">
        <v>0</v>
      </c>
      <c r="AC402" s="16">
        <v>402</v>
      </c>
      <c r="AD402" s="16">
        <v>0</v>
      </c>
      <c r="AE402" s="16">
        <v>0</v>
      </c>
      <c r="AF402" s="16">
        <v>1170</v>
      </c>
      <c r="AG402" s="16">
        <v>63</v>
      </c>
      <c r="AH402" s="16">
        <v>0</v>
      </c>
      <c r="AI402" s="16">
        <v>0</v>
      </c>
      <c r="AJ402" s="16">
        <v>0</v>
      </c>
      <c r="AK402" s="16">
        <v>21</v>
      </c>
      <c r="AL402" s="16">
        <v>0</v>
      </c>
      <c r="AM402" s="16">
        <v>-1602</v>
      </c>
      <c r="AN402" s="16">
        <v>0</v>
      </c>
      <c r="AO402" s="16">
        <v>-1518</v>
      </c>
      <c r="AP402" s="16">
        <v>2688</v>
      </c>
      <c r="AQ402" s="5" t="s">
        <v>159</v>
      </c>
    </row>
    <row r="403" spans="1:43" x14ac:dyDescent="0.3">
      <c r="A403" s="9" t="s">
        <v>827</v>
      </c>
      <c r="B403" s="11" t="s">
        <v>826</v>
      </c>
      <c r="C403" s="16">
        <v>0</v>
      </c>
      <c r="D403" s="16">
        <v>0</v>
      </c>
      <c r="E403" s="16">
        <v>0</v>
      </c>
      <c r="F403" s="16">
        <v>0</v>
      </c>
      <c r="G403" s="16">
        <v>0</v>
      </c>
      <c r="H403" s="16">
        <v>0</v>
      </c>
      <c r="I403" s="16">
        <v>0</v>
      </c>
      <c r="J403" s="16">
        <v>-2856</v>
      </c>
      <c r="K403" s="16">
        <v>0</v>
      </c>
      <c r="L403" s="16">
        <v>-12</v>
      </c>
      <c r="M403" s="16">
        <v>0</v>
      </c>
      <c r="N403" s="16">
        <v>0</v>
      </c>
      <c r="O403" s="16">
        <v>252</v>
      </c>
      <c r="P403" s="16">
        <v>0</v>
      </c>
      <c r="Q403" s="16">
        <v>10</v>
      </c>
      <c r="R403" s="16">
        <v>0</v>
      </c>
      <c r="S403" s="16">
        <v>0</v>
      </c>
      <c r="T403" s="16">
        <v>0</v>
      </c>
      <c r="U403" s="16">
        <v>0</v>
      </c>
      <c r="V403" s="16">
        <v>252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6">
        <v>0</v>
      </c>
      <c r="AD403" s="16">
        <v>-2856</v>
      </c>
      <c r="AE403" s="16">
        <v>-2856</v>
      </c>
      <c r="AF403" s="16">
        <v>0</v>
      </c>
      <c r="AG403" s="16">
        <v>0</v>
      </c>
      <c r="AH403" s="16">
        <v>0</v>
      </c>
      <c r="AI403" s="16">
        <v>0</v>
      </c>
      <c r="AJ403" s="16">
        <v>0</v>
      </c>
      <c r="AK403" s="16">
        <v>0</v>
      </c>
      <c r="AL403" s="16">
        <v>0</v>
      </c>
      <c r="AM403" s="16">
        <v>-2403</v>
      </c>
      <c r="AN403" s="16">
        <v>0</v>
      </c>
      <c r="AO403" s="16">
        <v>-2403</v>
      </c>
      <c r="AP403" s="16">
        <v>2403</v>
      </c>
      <c r="AQ403" s="5" t="s">
        <v>159</v>
      </c>
    </row>
    <row r="404" spans="1:43" x14ac:dyDescent="0.3">
      <c r="A404" s="9" t="s">
        <v>829</v>
      </c>
      <c r="B404" s="11" t="s">
        <v>828</v>
      </c>
      <c r="C404" s="16">
        <v>0</v>
      </c>
      <c r="D404" s="16">
        <v>0</v>
      </c>
      <c r="E404" s="16">
        <v>0</v>
      </c>
      <c r="F404" s="16">
        <v>0</v>
      </c>
      <c r="G404" s="16">
        <v>0</v>
      </c>
      <c r="H404" s="16">
        <v>0</v>
      </c>
      <c r="I404" s="16">
        <v>0</v>
      </c>
      <c r="J404" s="16">
        <v>0</v>
      </c>
      <c r="K404" s="16">
        <v>0</v>
      </c>
      <c r="L404" s="16">
        <v>0</v>
      </c>
      <c r="M404" s="16">
        <v>0</v>
      </c>
      <c r="N404" s="16">
        <v>0</v>
      </c>
      <c r="O404" s="16">
        <v>14</v>
      </c>
      <c r="P404" s="16">
        <v>0</v>
      </c>
      <c r="Q404" s="16">
        <v>1.6</v>
      </c>
      <c r="R404" s="16">
        <v>0</v>
      </c>
      <c r="S404" s="16">
        <v>0</v>
      </c>
      <c r="T404" s="16">
        <v>0</v>
      </c>
      <c r="U404" s="16">
        <v>0</v>
      </c>
      <c r="V404" s="16">
        <v>14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0</v>
      </c>
      <c r="AE404" s="16">
        <v>0</v>
      </c>
      <c r="AF404" s="16">
        <v>0</v>
      </c>
      <c r="AG404" s="16">
        <v>0</v>
      </c>
      <c r="AH404" s="16">
        <v>0</v>
      </c>
      <c r="AI404" s="16">
        <v>0</v>
      </c>
      <c r="AJ404" s="16">
        <v>0</v>
      </c>
      <c r="AK404" s="16">
        <v>0</v>
      </c>
      <c r="AL404" s="16">
        <v>0</v>
      </c>
      <c r="AM404" s="16">
        <v>0</v>
      </c>
      <c r="AN404" s="16">
        <v>0</v>
      </c>
      <c r="AO404" s="16">
        <v>0</v>
      </c>
      <c r="AP404" s="16">
        <v>0</v>
      </c>
      <c r="AQ404" s="5" t="s">
        <v>159</v>
      </c>
    </row>
    <row r="405" spans="1:43" x14ac:dyDescent="0.3">
      <c r="A405" s="9" t="s">
        <v>831</v>
      </c>
      <c r="B405" s="11" t="s">
        <v>830</v>
      </c>
      <c r="C405" s="16">
        <v>0</v>
      </c>
      <c r="D405" s="16">
        <v>0</v>
      </c>
      <c r="E405" s="16">
        <v>0</v>
      </c>
      <c r="F405" s="16">
        <v>0</v>
      </c>
      <c r="G405" s="16">
        <v>0</v>
      </c>
      <c r="H405" s="16">
        <v>0</v>
      </c>
      <c r="I405" s="16">
        <v>374.54</v>
      </c>
      <c r="J405" s="16">
        <v>2415</v>
      </c>
      <c r="K405" s="16">
        <v>0</v>
      </c>
      <c r="L405" s="16">
        <v>23</v>
      </c>
      <c r="M405" s="16">
        <v>0</v>
      </c>
      <c r="N405" s="16">
        <v>500</v>
      </c>
      <c r="O405" s="16">
        <v>63</v>
      </c>
      <c r="P405" s="16">
        <v>500</v>
      </c>
      <c r="Q405" s="16">
        <v>5</v>
      </c>
      <c r="R405" s="16">
        <v>0</v>
      </c>
      <c r="S405" s="16">
        <v>0</v>
      </c>
      <c r="T405" s="16">
        <v>0</v>
      </c>
      <c r="U405" s="16">
        <v>0</v>
      </c>
      <c r="V405" s="16">
        <v>63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3790</v>
      </c>
      <c r="AE405" s="16">
        <v>3790</v>
      </c>
      <c r="AF405" s="16">
        <v>0</v>
      </c>
      <c r="AG405" s="16">
        <v>0</v>
      </c>
      <c r="AH405" s="16">
        <v>0</v>
      </c>
      <c r="AI405" s="16">
        <v>0</v>
      </c>
      <c r="AJ405" s="16">
        <v>0</v>
      </c>
      <c r="AK405" s="16">
        <v>0</v>
      </c>
      <c r="AL405" s="16">
        <v>0</v>
      </c>
      <c r="AM405" s="16">
        <v>-3204</v>
      </c>
      <c r="AN405" s="16">
        <v>0</v>
      </c>
      <c r="AO405" s="16">
        <v>-3204</v>
      </c>
      <c r="AP405" s="16">
        <v>3204</v>
      </c>
      <c r="AQ405" s="5" t="s">
        <v>159</v>
      </c>
    </row>
    <row r="406" spans="1:43" x14ac:dyDescent="0.3">
      <c r="A406" s="9" t="s">
        <v>833</v>
      </c>
      <c r="B406" s="11" t="s">
        <v>832</v>
      </c>
      <c r="C406" s="16">
        <v>-415</v>
      </c>
      <c r="D406" s="16">
        <v>-226</v>
      </c>
      <c r="E406" s="16">
        <v>-38</v>
      </c>
      <c r="F406" s="16">
        <v>-53</v>
      </c>
      <c r="G406" s="16">
        <v>-22</v>
      </c>
      <c r="H406" s="16">
        <v>0</v>
      </c>
      <c r="I406" s="16">
        <v>0</v>
      </c>
      <c r="J406" s="16">
        <v>-990</v>
      </c>
      <c r="K406" s="16">
        <v>0</v>
      </c>
      <c r="L406" s="16">
        <v>-8</v>
      </c>
      <c r="M406" s="16">
        <v>0</v>
      </c>
      <c r="N406" s="16">
        <v>0</v>
      </c>
      <c r="O406" s="16">
        <v>80</v>
      </c>
      <c r="P406" s="16">
        <v>0</v>
      </c>
      <c r="Q406" s="16">
        <v>7.5</v>
      </c>
      <c r="R406" s="16">
        <v>0</v>
      </c>
      <c r="S406" s="16">
        <v>0</v>
      </c>
      <c r="T406" s="16">
        <v>0</v>
      </c>
      <c r="U406" s="16">
        <v>0</v>
      </c>
      <c r="V406" s="16">
        <v>80</v>
      </c>
      <c r="W406" s="16">
        <v>-527.97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-381</v>
      </c>
      <c r="AD406" s="16">
        <v>-990</v>
      </c>
      <c r="AE406" s="16">
        <v>-990</v>
      </c>
      <c r="AF406" s="16">
        <v>-1135</v>
      </c>
      <c r="AG406" s="16">
        <v>-63</v>
      </c>
      <c r="AH406" s="16">
        <v>0</v>
      </c>
      <c r="AI406" s="16">
        <v>0</v>
      </c>
      <c r="AJ406" s="16">
        <v>0</v>
      </c>
      <c r="AK406" s="16">
        <v>-19</v>
      </c>
      <c r="AL406" s="16">
        <v>0</v>
      </c>
      <c r="AM406" s="16">
        <v>-801</v>
      </c>
      <c r="AN406" s="16">
        <v>0</v>
      </c>
      <c r="AO406" s="16">
        <v>-883</v>
      </c>
      <c r="AP406" s="16">
        <v>-252</v>
      </c>
      <c r="AQ406" s="5" t="s">
        <v>159</v>
      </c>
    </row>
    <row r="407" spans="1:43" x14ac:dyDescent="0.3">
      <c r="A407" s="9" t="s">
        <v>835</v>
      </c>
      <c r="B407" s="11" t="s">
        <v>834</v>
      </c>
      <c r="C407" s="16">
        <v>-7776</v>
      </c>
      <c r="D407" s="16">
        <v>-4241</v>
      </c>
      <c r="E407" s="16">
        <v>-707</v>
      </c>
      <c r="F407" s="16">
        <v>-990</v>
      </c>
      <c r="G407" s="16">
        <v>-424</v>
      </c>
      <c r="H407" s="16">
        <v>0</v>
      </c>
      <c r="I407" s="16">
        <v>-1231</v>
      </c>
      <c r="J407" s="16">
        <v>-391</v>
      </c>
      <c r="K407" s="16">
        <v>-14138</v>
      </c>
      <c r="L407" s="16">
        <v>-4</v>
      </c>
      <c r="M407" s="16">
        <v>0</v>
      </c>
      <c r="N407" s="16">
        <v>0</v>
      </c>
      <c r="O407" s="16">
        <v>-597</v>
      </c>
      <c r="P407" s="16">
        <v>0</v>
      </c>
      <c r="Q407" s="16">
        <v>9</v>
      </c>
      <c r="R407" s="16">
        <v>-12</v>
      </c>
      <c r="S407" s="16">
        <v>-53</v>
      </c>
      <c r="T407" s="16">
        <v>-4</v>
      </c>
      <c r="U407" s="16">
        <v>-19</v>
      </c>
      <c r="V407" s="16">
        <v>-593</v>
      </c>
      <c r="W407" s="16">
        <v>0</v>
      </c>
      <c r="X407" s="16">
        <v>0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-1622</v>
      </c>
      <c r="AE407" s="16">
        <v>-1610</v>
      </c>
      <c r="AF407" s="16">
        <v>-14138</v>
      </c>
      <c r="AG407" s="16">
        <v>0</v>
      </c>
      <c r="AH407" s="16">
        <v>-106</v>
      </c>
      <c r="AI407" s="16">
        <v>-208</v>
      </c>
      <c r="AJ407" s="16">
        <v>0</v>
      </c>
      <c r="AK407" s="16">
        <v>-459</v>
      </c>
      <c r="AL407" s="16">
        <v>0</v>
      </c>
      <c r="AM407" s="16">
        <v>0</v>
      </c>
      <c r="AN407" s="16">
        <v>0</v>
      </c>
      <c r="AO407" s="16">
        <v>-773</v>
      </c>
      <c r="AP407" s="16">
        <v>-13365</v>
      </c>
      <c r="AQ407" s="5" t="s">
        <v>159</v>
      </c>
    </row>
    <row r="408" spans="1:43" x14ac:dyDescent="0.3">
      <c r="A408" s="9" t="s">
        <v>837</v>
      </c>
      <c r="B408" s="11" t="s">
        <v>836</v>
      </c>
      <c r="C408" s="16">
        <v>0</v>
      </c>
      <c r="D408" s="16">
        <v>0</v>
      </c>
      <c r="E408" s="16">
        <v>0</v>
      </c>
      <c r="F408" s="16">
        <v>0</v>
      </c>
      <c r="G408" s="16">
        <v>0</v>
      </c>
      <c r="H408" s="16">
        <v>0</v>
      </c>
      <c r="I408" s="16">
        <v>0</v>
      </c>
      <c r="J408" s="16">
        <v>0</v>
      </c>
      <c r="K408" s="16">
        <v>0</v>
      </c>
      <c r="L408" s="16">
        <v>0</v>
      </c>
      <c r="M408" s="16">
        <v>0</v>
      </c>
      <c r="N408" s="16">
        <v>0</v>
      </c>
      <c r="O408" s="16">
        <v>5</v>
      </c>
      <c r="P408" s="16">
        <v>0</v>
      </c>
      <c r="Q408" s="16">
        <v>0.5</v>
      </c>
      <c r="R408" s="16">
        <v>0</v>
      </c>
      <c r="S408" s="16">
        <v>0</v>
      </c>
      <c r="T408" s="16">
        <v>0</v>
      </c>
      <c r="U408" s="16">
        <v>1</v>
      </c>
      <c r="V408" s="16">
        <v>5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0</v>
      </c>
      <c r="AF408" s="16">
        <v>0</v>
      </c>
      <c r="AG408" s="16">
        <v>0</v>
      </c>
      <c r="AH408" s="16">
        <v>0</v>
      </c>
      <c r="AI408" s="16">
        <v>0</v>
      </c>
      <c r="AJ408" s="16">
        <v>0</v>
      </c>
      <c r="AK408" s="16">
        <v>0</v>
      </c>
      <c r="AL408" s="16">
        <v>0</v>
      </c>
      <c r="AM408" s="16">
        <v>0</v>
      </c>
      <c r="AN408" s="16">
        <v>0</v>
      </c>
      <c r="AO408" s="16">
        <v>0</v>
      </c>
      <c r="AP408" s="16">
        <v>0</v>
      </c>
      <c r="AQ408" s="5" t="s">
        <v>159</v>
      </c>
    </row>
    <row r="409" spans="1:43" x14ac:dyDescent="0.3">
      <c r="A409" s="9" t="s">
        <v>839</v>
      </c>
      <c r="B409" s="11" t="s">
        <v>838</v>
      </c>
      <c r="C409" s="16">
        <v>-2080</v>
      </c>
      <c r="D409" s="16">
        <v>-1134</v>
      </c>
      <c r="E409" s="16">
        <v>-189</v>
      </c>
      <c r="F409" s="16">
        <v>-264</v>
      </c>
      <c r="G409" s="16">
        <v>-114</v>
      </c>
      <c r="H409" s="16">
        <v>0</v>
      </c>
      <c r="I409" s="16">
        <v>0</v>
      </c>
      <c r="J409" s="16">
        <v>0</v>
      </c>
      <c r="K409" s="16">
        <v>0</v>
      </c>
      <c r="L409" s="16">
        <v>0</v>
      </c>
      <c r="M409" s="16">
        <v>0</v>
      </c>
      <c r="N409" s="16">
        <v>0</v>
      </c>
      <c r="O409" s="16">
        <v>76</v>
      </c>
      <c r="P409" s="16">
        <v>0</v>
      </c>
      <c r="Q409" s="16">
        <v>23.5</v>
      </c>
      <c r="R409" s="16">
        <v>0</v>
      </c>
      <c r="S409" s="16">
        <v>0</v>
      </c>
      <c r="T409" s="16">
        <v>0</v>
      </c>
      <c r="U409" s="16">
        <v>0</v>
      </c>
      <c r="V409" s="16">
        <v>76</v>
      </c>
      <c r="W409" s="16">
        <v>-2647</v>
      </c>
      <c r="X409" s="16">
        <v>0</v>
      </c>
      <c r="Y409" s="16">
        <v>0</v>
      </c>
      <c r="Z409" s="16">
        <v>0</v>
      </c>
      <c r="AA409" s="16">
        <v>0</v>
      </c>
      <c r="AB409" s="16">
        <v>0</v>
      </c>
      <c r="AC409" s="16">
        <v>-3112</v>
      </c>
      <c r="AD409" s="16">
        <v>0</v>
      </c>
      <c r="AE409" s="16">
        <v>0</v>
      </c>
      <c r="AF409" s="16">
        <v>-6893</v>
      </c>
      <c r="AG409" s="16">
        <v>-318</v>
      </c>
      <c r="AH409" s="16">
        <v>0</v>
      </c>
      <c r="AI409" s="16">
        <v>0</v>
      </c>
      <c r="AJ409" s="16">
        <v>0</v>
      </c>
      <c r="AK409" s="16">
        <v>-106</v>
      </c>
      <c r="AL409" s="16">
        <v>0</v>
      </c>
      <c r="AM409" s="16">
        <v>0</v>
      </c>
      <c r="AN409" s="16">
        <v>0</v>
      </c>
      <c r="AO409" s="16">
        <v>-424</v>
      </c>
      <c r="AP409" s="16">
        <v>-6469</v>
      </c>
      <c r="AQ409" s="5" t="s">
        <v>159</v>
      </c>
    </row>
    <row r="410" spans="1:43" x14ac:dyDescent="0.3">
      <c r="A410" s="9" t="s">
        <v>841</v>
      </c>
      <c r="B410" s="11" t="s">
        <v>840</v>
      </c>
      <c r="C410" s="16">
        <v>3368</v>
      </c>
      <c r="D410" s="16">
        <v>1837</v>
      </c>
      <c r="E410" s="16">
        <v>307</v>
      </c>
      <c r="F410" s="16">
        <v>428</v>
      </c>
      <c r="G410" s="16">
        <v>184</v>
      </c>
      <c r="H410" s="16">
        <v>1000</v>
      </c>
      <c r="I410" s="16">
        <v>1620.04</v>
      </c>
      <c r="J410" s="16">
        <v>3627</v>
      </c>
      <c r="K410" s="16">
        <v>0</v>
      </c>
      <c r="L410" s="16">
        <v>32</v>
      </c>
      <c r="M410" s="16">
        <v>0</v>
      </c>
      <c r="N410" s="16">
        <v>0</v>
      </c>
      <c r="O410" s="16">
        <v>443</v>
      </c>
      <c r="P410" s="16">
        <v>0</v>
      </c>
      <c r="Q410" s="16">
        <v>9.25</v>
      </c>
      <c r="R410" s="16">
        <v>0</v>
      </c>
      <c r="S410" s="16">
        <v>0</v>
      </c>
      <c r="T410" s="16">
        <v>0</v>
      </c>
      <c r="U410" s="16">
        <v>0</v>
      </c>
      <c r="V410" s="16">
        <v>443</v>
      </c>
      <c r="W410" s="16">
        <v>4285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16">
        <v>1429</v>
      </c>
      <c r="AD410" s="16">
        <v>6247</v>
      </c>
      <c r="AE410" s="16">
        <v>6247</v>
      </c>
      <c r="AF410" s="16">
        <v>7553</v>
      </c>
      <c r="AG410" s="16">
        <v>514</v>
      </c>
      <c r="AH410" s="16">
        <v>0</v>
      </c>
      <c r="AI410" s="16">
        <v>0</v>
      </c>
      <c r="AJ410" s="16">
        <v>0</v>
      </c>
      <c r="AK410" s="16">
        <v>171</v>
      </c>
      <c r="AL410" s="16">
        <v>0</v>
      </c>
      <c r="AM410" s="16">
        <v>0</v>
      </c>
      <c r="AN410" s="16">
        <v>0</v>
      </c>
      <c r="AO410" s="16">
        <v>685</v>
      </c>
      <c r="AP410" s="16">
        <v>6868</v>
      </c>
      <c r="AQ410" s="5" t="s">
        <v>159</v>
      </c>
    </row>
    <row r="411" spans="1:43" x14ac:dyDescent="0.3">
      <c r="A411" s="9" t="s">
        <v>843</v>
      </c>
      <c r="B411" s="11" t="s">
        <v>842</v>
      </c>
      <c r="C411" s="16">
        <v>-302</v>
      </c>
      <c r="D411" s="16">
        <v>-165</v>
      </c>
      <c r="E411" s="16">
        <v>-27</v>
      </c>
      <c r="F411" s="16">
        <v>-38</v>
      </c>
      <c r="G411" s="16">
        <v>-16</v>
      </c>
      <c r="H411" s="16">
        <v>0</v>
      </c>
      <c r="I411" s="16">
        <v>0</v>
      </c>
      <c r="J411" s="16">
        <v>1798</v>
      </c>
      <c r="K411" s="16">
        <v>-628</v>
      </c>
      <c r="L411" s="16">
        <v>20</v>
      </c>
      <c r="M411" s="16">
        <v>0</v>
      </c>
      <c r="N411" s="16">
        <v>0</v>
      </c>
      <c r="O411" s="16">
        <v>69</v>
      </c>
      <c r="P411" s="16">
        <v>0</v>
      </c>
      <c r="Q411" s="16">
        <v>10</v>
      </c>
      <c r="R411" s="16">
        <v>14</v>
      </c>
      <c r="S411" s="16">
        <v>59</v>
      </c>
      <c r="T411" s="16">
        <v>0</v>
      </c>
      <c r="U411" s="16">
        <v>3</v>
      </c>
      <c r="V411" s="16">
        <v>69</v>
      </c>
      <c r="W411" s="16">
        <v>-383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-80</v>
      </c>
      <c r="AD411" s="16">
        <v>1798</v>
      </c>
      <c r="AE411" s="16">
        <v>1784</v>
      </c>
      <c r="AF411" s="16">
        <v>-628</v>
      </c>
      <c r="AG411" s="16">
        <v>-46</v>
      </c>
      <c r="AH411" s="16">
        <v>-5</v>
      </c>
      <c r="AI411" s="16">
        <v>0</v>
      </c>
      <c r="AJ411" s="16">
        <v>0</v>
      </c>
      <c r="AK411" s="16">
        <v>-19</v>
      </c>
      <c r="AL411" s="16">
        <v>0</v>
      </c>
      <c r="AM411" s="16">
        <v>0</v>
      </c>
      <c r="AN411" s="16">
        <v>0</v>
      </c>
      <c r="AO411" s="16">
        <v>-70</v>
      </c>
      <c r="AP411" s="16">
        <v>-558</v>
      </c>
      <c r="AQ411" s="5" t="s">
        <v>159</v>
      </c>
    </row>
    <row r="412" spans="1:43" x14ac:dyDescent="0.3">
      <c r="A412" s="9" t="s">
        <v>845</v>
      </c>
      <c r="B412" s="11" t="s">
        <v>844</v>
      </c>
      <c r="C412" s="16">
        <v>-338</v>
      </c>
      <c r="D412" s="16">
        <v>-184</v>
      </c>
      <c r="E412" s="16">
        <v>-31</v>
      </c>
      <c r="F412" s="16">
        <v>-43</v>
      </c>
      <c r="G412" s="16">
        <v>-19</v>
      </c>
      <c r="H412" s="16">
        <v>-1000</v>
      </c>
      <c r="I412" s="16">
        <v>0</v>
      </c>
      <c r="J412" s="16">
        <v>-2420</v>
      </c>
      <c r="K412" s="16">
        <v>-676</v>
      </c>
      <c r="L412" s="16">
        <v>-24</v>
      </c>
      <c r="M412" s="16">
        <v>0</v>
      </c>
      <c r="N412" s="16">
        <v>0</v>
      </c>
      <c r="O412" s="16">
        <v>-382</v>
      </c>
      <c r="P412" s="16">
        <v>0</v>
      </c>
      <c r="Q412" s="16">
        <v>-32.5</v>
      </c>
      <c r="R412" s="16">
        <v>-26</v>
      </c>
      <c r="S412" s="16">
        <v>-112</v>
      </c>
      <c r="T412" s="16">
        <v>-3</v>
      </c>
      <c r="U412" s="16">
        <v>-13</v>
      </c>
      <c r="V412" s="16">
        <v>-379</v>
      </c>
      <c r="W412" s="16">
        <v>-431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-61</v>
      </c>
      <c r="AD412" s="16">
        <v>-3420</v>
      </c>
      <c r="AE412" s="16">
        <v>-3394</v>
      </c>
      <c r="AF412" s="16">
        <v>-676</v>
      </c>
      <c r="AG412" s="16">
        <v>-51</v>
      </c>
      <c r="AH412" s="16">
        <v>-5</v>
      </c>
      <c r="AI412" s="16">
        <v>0</v>
      </c>
      <c r="AJ412" s="16">
        <v>0</v>
      </c>
      <c r="AK412" s="16">
        <v>-19</v>
      </c>
      <c r="AL412" s="16">
        <v>0</v>
      </c>
      <c r="AM412" s="16">
        <v>0</v>
      </c>
      <c r="AN412" s="16">
        <v>0</v>
      </c>
      <c r="AO412" s="16">
        <v>-75</v>
      </c>
      <c r="AP412" s="16">
        <v>-601</v>
      </c>
      <c r="AQ412" s="5" t="s">
        <v>159</v>
      </c>
    </row>
    <row r="413" spans="1:43" x14ac:dyDescent="0.3">
      <c r="A413" s="9" t="s">
        <v>847</v>
      </c>
      <c r="B413" s="11" t="s">
        <v>846</v>
      </c>
      <c r="C413" s="16">
        <v>0</v>
      </c>
      <c r="D413" s="16">
        <v>0</v>
      </c>
      <c r="E413" s="16">
        <v>0</v>
      </c>
      <c r="F413" s="16">
        <v>0</v>
      </c>
      <c r="G413" s="16">
        <v>0</v>
      </c>
      <c r="H413" s="16">
        <v>0</v>
      </c>
      <c r="I413" s="16">
        <v>0</v>
      </c>
      <c r="J413" s="16">
        <v>3544</v>
      </c>
      <c r="K413" s="16">
        <v>0</v>
      </c>
      <c r="L413" s="16">
        <v>36.5</v>
      </c>
      <c r="M413" s="16">
        <v>0</v>
      </c>
      <c r="N413" s="16">
        <v>0</v>
      </c>
      <c r="O413" s="16">
        <v>111</v>
      </c>
      <c r="P413" s="16">
        <v>0</v>
      </c>
      <c r="Q413" s="16">
        <v>10</v>
      </c>
      <c r="R413" s="16">
        <v>0</v>
      </c>
      <c r="S413" s="16">
        <v>0</v>
      </c>
      <c r="T413" s="16">
        <v>0</v>
      </c>
      <c r="U413" s="16">
        <v>0</v>
      </c>
      <c r="V413" s="16">
        <v>111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6">
        <v>0</v>
      </c>
      <c r="AC413" s="16">
        <v>0</v>
      </c>
      <c r="AD413" s="16">
        <v>3544</v>
      </c>
      <c r="AE413" s="16">
        <v>3544</v>
      </c>
      <c r="AF413" s="16">
        <v>0</v>
      </c>
      <c r="AG413" s="16">
        <v>0</v>
      </c>
      <c r="AH413" s="16">
        <v>0</v>
      </c>
      <c r="AI413" s="16">
        <v>0</v>
      </c>
      <c r="AJ413" s="16">
        <v>0</v>
      </c>
      <c r="AK413" s="16">
        <v>0</v>
      </c>
      <c r="AL413" s="16">
        <v>0</v>
      </c>
      <c r="AM413" s="16">
        <v>-1602</v>
      </c>
      <c r="AN413" s="16">
        <v>0</v>
      </c>
      <c r="AO413" s="16">
        <v>-1602</v>
      </c>
      <c r="AP413" s="16">
        <v>1602</v>
      </c>
      <c r="AQ413" s="5" t="s">
        <v>159</v>
      </c>
    </row>
    <row r="414" spans="1:43" x14ac:dyDescent="0.3">
      <c r="A414" s="9" t="s">
        <v>849</v>
      </c>
      <c r="B414" s="11" t="s">
        <v>848</v>
      </c>
      <c r="C414" s="16">
        <v>0</v>
      </c>
      <c r="D414" s="16">
        <v>0</v>
      </c>
      <c r="E414" s="16">
        <v>0</v>
      </c>
      <c r="F414" s="16">
        <v>0</v>
      </c>
      <c r="G414" s="16">
        <v>0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0</v>
      </c>
      <c r="N414" s="16">
        <v>0</v>
      </c>
      <c r="O414" s="16">
        <v>-19</v>
      </c>
      <c r="P414" s="16">
        <v>0</v>
      </c>
      <c r="Q414" s="16">
        <v>-0.5</v>
      </c>
      <c r="R414" s="16">
        <v>0</v>
      </c>
      <c r="S414" s="16">
        <v>0</v>
      </c>
      <c r="T414" s="16">
        <v>0</v>
      </c>
      <c r="U414" s="16">
        <v>0</v>
      </c>
      <c r="V414" s="16">
        <v>-19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  <c r="AC414" s="16">
        <v>0</v>
      </c>
      <c r="AD414" s="16">
        <v>0</v>
      </c>
      <c r="AE414" s="16">
        <v>0</v>
      </c>
      <c r="AF414" s="16">
        <v>0</v>
      </c>
      <c r="AG414" s="16">
        <v>0</v>
      </c>
      <c r="AH414" s="16">
        <v>0</v>
      </c>
      <c r="AI414" s="16">
        <v>0</v>
      </c>
      <c r="AJ414" s="16">
        <v>0</v>
      </c>
      <c r="AK414" s="16">
        <v>0</v>
      </c>
      <c r="AL414" s="16">
        <v>0</v>
      </c>
      <c r="AM414" s="16">
        <v>-3204</v>
      </c>
      <c r="AN414" s="16">
        <v>0</v>
      </c>
      <c r="AO414" s="16">
        <v>-3204</v>
      </c>
      <c r="AP414" s="16">
        <v>3204</v>
      </c>
      <c r="AQ414" s="5" t="s">
        <v>159</v>
      </c>
    </row>
    <row r="415" spans="1:43" x14ac:dyDescent="0.3">
      <c r="A415" s="9" t="s">
        <v>851</v>
      </c>
      <c r="B415" s="11" t="s">
        <v>850</v>
      </c>
      <c r="C415" s="16">
        <v>843</v>
      </c>
      <c r="D415" s="16">
        <v>460</v>
      </c>
      <c r="E415" s="16">
        <v>77</v>
      </c>
      <c r="F415" s="16">
        <v>108</v>
      </c>
      <c r="G415" s="16">
        <v>46</v>
      </c>
      <c r="H415" s="16">
        <v>1000</v>
      </c>
      <c r="I415" s="16">
        <v>0</v>
      </c>
      <c r="J415" s="16">
        <v>0</v>
      </c>
      <c r="K415" s="16">
        <v>0</v>
      </c>
      <c r="L415" s="16">
        <v>0</v>
      </c>
      <c r="M415" s="16">
        <v>0</v>
      </c>
      <c r="N415" s="16">
        <v>0</v>
      </c>
      <c r="O415" s="16">
        <v>-325</v>
      </c>
      <c r="P415" s="16">
        <v>0</v>
      </c>
      <c r="Q415" s="16">
        <v>-32.5</v>
      </c>
      <c r="R415" s="16">
        <v>0</v>
      </c>
      <c r="S415" s="16">
        <v>0</v>
      </c>
      <c r="T415" s="16">
        <v>0</v>
      </c>
      <c r="U415" s="16">
        <v>0</v>
      </c>
      <c r="V415" s="16">
        <v>-325</v>
      </c>
      <c r="W415" s="16">
        <v>1057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  <c r="AC415" s="16">
        <v>300</v>
      </c>
      <c r="AD415" s="16">
        <v>1000</v>
      </c>
      <c r="AE415" s="16">
        <v>1000</v>
      </c>
      <c r="AF415" s="16">
        <v>1834</v>
      </c>
      <c r="AG415" s="16">
        <v>127</v>
      </c>
      <c r="AH415" s="16">
        <v>0</v>
      </c>
      <c r="AI415" s="16">
        <v>0</v>
      </c>
      <c r="AJ415" s="16">
        <v>0</v>
      </c>
      <c r="AK415" s="16">
        <v>43</v>
      </c>
      <c r="AL415" s="16">
        <v>0</v>
      </c>
      <c r="AM415" s="16">
        <v>-1602</v>
      </c>
      <c r="AN415" s="16">
        <v>0</v>
      </c>
      <c r="AO415" s="16">
        <v>-1432</v>
      </c>
      <c r="AP415" s="16">
        <v>3266</v>
      </c>
      <c r="AQ415" s="5" t="s">
        <v>159</v>
      </c>
    </row>
    <row r="416" spans="1:43" x14ac:dyDescent="0.3">
      <c r="A416" s="9" t="s">
        <v>853</v>
      </c>
      <c r="B416" s="11" t="s">
        <v>852</v>
      </c>
      <c r="C416" s="16">
        <v>359</v>
      </c>
      <c r="D416" s="16">
        <v>195</v>
      </c>
      <c r="E416" s="16">
        <v>33</v>
      </c>
      <c r="F416" s="16">
        <v>46</v>
      </c>
      <c r="G416" s="16">
        <v>20</v>
      </c>
      <c r="H416" s="16">
        <v>0</v>
      </c>
      <c r="I416" s="16">
        <v>0</v>
      </c>
      <c r="J416" s="16">
        <v>772</v>
      </c>
      <c r="K416" s="16">
        <v>738</v>
      </c>
      <c r="L416" s="16">
        <v>8</v>
      </c>
      <c r="M416" s="16">
        <v>0</v>
      </c>
      <c r="N416" s="16">
        <v>0</v>
      </c>
      <c r="O416" s="16">
        <v>-58</v>
      </c>
      <c r="P416" s="16">
        <v>0</v>
      </c>
      <c r="Q416" s="16">
        <v>-8</v>
      </c>
      <c r="R416" s="16">
        <v>6</v>
      </c>
      <c r="S416" s="16">
        <v>25</v>
      </c>
      <c r="T416" s="16">
        <v>-1</v>
      </c>
      <c r="U416" s="16">
        <v>-2</v>
      </c>
      <c r="V416" s="16">
        <v>-57</v>
      </c>
      <c r="W416" s="16">
        <v>458</v>
      </c>
      <c r="X416" s="16">
        <v>0</v>
      </c>
      <c r="Y416" s="16">
        <v>0</v>
      </c>
      <c r="Z416" s="16">
        <v>0</v>
      </c>
      <c r="AA416" s="16">
        <v>0</v>
      </c>
      <c r="AB416" s="16">
        <v>0</v>
      </c>
      <c r="AC416" s="16">
        <v>85</v>
      </c>
      <c r="AD416" s="16">
        <v>772</v>
      </c>
      <c r="AE416" s="16">
        <v>766</v>
      </c>
      <c r="AF416" s="16">
        <v>738</v>
      </c>
      <c r="AG416" s="16">
        <v>55</v>
      </c>
      <c r="AH416" s="16">
        <v>5</v>
      </c>
      <c r="AI416" s="16">
        <v>0</v>
      </c>
      <c r="AJ416" s="16">
        <v>0</v>
      </c>
      <c r="AK416" s="16">
        <v>21</v>
      </c>
      <c r="AL416" s="16">
        <v>0</v>
      </c>
      <c r="AM416" s="16">
        <v>0</v>
      </c>
      <c r="AN416" s="16">
        <v>0</v>
      </c>
      <c r="AO416" s="16">
        <v>81</v>
      </c>
      <c r="AP416" s="16">
        <v>657</v>
      </c>
      <c r="AQ416" s="5" t="s">
        <v>159</v>
      </c>
    </row>
    <row r="417" spans="1:43" x14ac:dyDescent="0.3">
      <c r="A417" s="9" t="s">
        <v>855</v>
      </c>
      <c r="B417" s="11" t="s">
        <v>854</v>
      </c>
      <c r="C417" s="16">
        <v>35</v>
      </c>
      <c r="D417" s="16">
        <v>19</v>
      </c>
      <c r="E417" s="16">
        <v>3</v>
      </c>
      <c r="F417" s="16">
        <v>5</v>
      </c>
      <c r="G417" s="16">
        <v>2</v>
      </c>
      <c r="H417" s="16">
        <v>0</v>
      </c>
      <c r="I417" s="16">
        <v>0</v>
      </c>
      <c r="J417" s="16">
        <v>779</v>
      </c>
      <c r="K417" s="16">
        <v>71</v>
      </c>
      <c r="L417" s="16">
        <v>8</v>
      </c>
      <c r="M417" s="16">
        <v>0</v>
      </c>
      <c r="N417" s="16">
        <v>0</v>
      </c>
      <c r="O417" s="16">
        <v>-304</v>
      </c>
      <c r="P417" s="16">
        <v>0</v>
      </c>
      <c r="Q417" s="16">
        <v>-32.5</v>
      </c>
      <c r="R417" s="16">
        <v>5</v>
      </c>
      <c r="S417" s="16">
        <v>25</v>
      </c>
      <c r="T417" s="16">
        <v>-2</v>
      </c>
      <c r="U417" s="16">
        <v>-10</v>
      </c>
      <c r="V417" s="16">
        <v>-302</v>
      </c>
      <c r="W417" s="16">
        <v>45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7</v>
      </c>
      <c r="AD417" s="16">
        <v>779</v>
      </c>
      <c r="AE417" s="16">
        <v>774</v>
      </c>
      <c r="AF417" s="16">
        <v>71</v>
      </c>
      <c r="AG417" s="16">
        <v>5</v>
      </c>
      <c r="AH417" s="16">
        <v>1</v>
      </c>
      <c r="AI417" s="16">
        <v>0</v>
      </c>
      <c r="AJ417" s="16">
        <v>0</v>
      </c>
      <c r="AK417" s="16">
        <v>0</v>
      </c>
      <c r="AL417" s="16">
        <v>0</v>
      </c>
      <c r="AM417" s="16">
        <v>0</v>
      </c>
      <c r="AN417" s="16">
        <v>0</v>
      </c>
      <c r="AO417" s="16">
        <v>6</v>
      </c>
      <c r="AP417" s="16">
        <v>65</v>
      </c>
      <c r="AQ417" s="5" t="s">
        <v>159</v>
      </c>
    </row>
    <row r="418" spans="1:43" x14ac:dyDescent="0.3">
      <c r="A418" s="9" t="s">
        <v>857</v>
      </c>
      <c r="B418" s="11" t="s">
        <v>856</v>
      </c>
      <c r="C418" s="16">
        <v>0</v>
      </c>
      <c r="D418" s="16">
        <v>0</v>
      </c>
      <c r="E418" s="16">
        <v>0</v>
      </c>
      <c r="F418" s="16">
        <v>0</v>
      </c>
      <c r="G418" s="16">
        <v>0</v>
      </c>
      <c r="H418" s="16">
        <v>0</v>
      </c>
      <c r="I418" s="16">
        <v>0</v>
      </c>
      <c r="J418" s="16">
        <v>-2255</v>
      </c>
      <c r="K418" s="16">
        <v>0</v>
      </c>
      <c r="L418" s="16">
        <v>-10.5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-2255</v>
      </c>
      <c r="AE418" s="16">
        <v>-2255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-1602</v>
      </c>
      <c r="AN418" s="16">
        <v>0</v>
      </c>
      <c r="AO418" s="16">
        <v>-1602</v>
      </c>
      <c r="AP418" s="16">
        <v>1602</v>
      </c>
      <c r="AQ418" s="5" t="s">
        <v>159</v>
      </c>
    </row>
    <row r="419" spans="1:43" x14ac:dyDescent="0.3">
      <c r="A419" s="9" t="s">
        <v>859</v>
      </c>
      <c r="B419" s="11" t="s">
        <v>858</v>
      </c>
      <c r="C419" s="16">
        <v>629</v>
      </c>
      <c r="D419" s="16">
        <v>343</v>
      </c>
      <c r="E419" s="16">
        <v>57</v>
      </c>
      <c r="F419" s="16">
        <v>80</v>
      </c>
      <c r="G419" s="16">
        <v>34</v>
      </c>
      <c r="H419" s="16">
        <v>0</v>
      </c>
      <c r="I419" s="16">
        <v>-345.69</v>
      </c>
      <c r="J419" s="16">
        <v>-2031</v>
      </c>
      <c r="K419" s="16">
        <v>0</v>
      </c>
      <c r="L419" s="16">
        <v>-12</v>
      </c>
      <c r="M419" s="16">
        <v>0</v>
      </c>
      <c r="N419" s="16">
        <v>0</v>
      </c>
      <c r="O419" s="16">
        <v>-208</v>
      </c>
      <c r="P419" s="16">
        <v>0</v>
      </c>
      <c r="Q419" s="16">
        <v>-15</v>
      </c>
      <c r="R419" s="16">
        <v>0</v>
      </c>
      <c r="S419" s="16">
        <v>0</v>
      </c>
      <c r="T419" s="16">
        <v>0</v>
      </c>
      <c r="U419" s="16">
        <v>0</v>
      </c>
      <c r="V419" s="16">
        <v>-208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  <c r="AC419" s="16">
        <v>41</v>
      </c>
      <c r="AD419" s="16">
        <v>-2377</v>
      </c>
      <c r="AE419" s="16">
        <v>-2377</v>
      </c>
      <c r="AF419" s="16">
        <v>1184</v>
      </c>
      <c r="AG419" s="16">
        <v>0</v>
      </c>
      <c r="AH419" s="16">
        <v>0</v>
      </c>
      <c r="AI419" s="16">
        <v>0</v>
      </c>
      <c r="AJ419" s="16">
        <v>0</v>
      </c>
      <c r="AK419" s="16">
        <v>21</v>
      </c>
      <c r="AL419" s="16">
        <v>0</v>
      </c>
      <c r="AM419" s="16">
        <v>-3204</v>
      </c>
      <c r="AN419" s="16">
        <v>0</v>
      </c>
      <c r="AO419" s="16">
        <v>-3183</v>
      </c>
      <c r="AP419" s="16">
        <v>4367</v>
      </c>
      <c r="AQ419" s="5" t="s">
        <v>159</v>
      </c>
    </row>
    <row r="420" spans="1:43" x14ac:dyDescent="0.3">
      <c r="A420" s="9" t="s">
        <v>861</v>
      </c>
      <c r="B420" s="11" t="s">
        <v>860</v>
      </c>
      <c r="C420" s="16">
        <v>0</v>
      </c>
      <c r="D420" s="16">
        <v>0</v>
      </c>
      <c r="E420" s="16">
        <v>0</v>
      </c>
      <c r="F420" s="16">
        <v>0</v>
      </c>
      <c r="G420" s="16">
        <v>0</v>
      </c>
      <c r="H420" s="16">
        <v>0</v>
      </c>
      <c r="I420" s="16">
        <v>0</v>
      </c>
      <c r="J420" s="16">
        <v>0</v>
      </c>
      <c r="K420" s="16">
        <v>0</v>
      </c>
      <c r="L420" s="16">
        <v>0</v>
      </c>
      <c r="M420" s="16">
        <v>0</v>
      </c>
      <c r="N420" s="16">
        <v>0</v>
      </c>
      <c r="O420" s="16">
        <v>52</v>
      </c>
      <c r="P420" s="16">
        <v>0</v>
      </c>
      <c r="Q420" s="16">
        <v>5</v>
      </c>
      <c r="R420" s="16">
        <v>0</v>
      </c>
      <c r="S420" s="16">
        <v>0</v>
      </c>
      <c r="T420" s="16">
        <v>0</v>
      </c>
      <c r="U420" s="16">
        <v>0</v>
      </c>
      <c r="V420" s="16">
        <v>52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0</v>
      </c>
      <c r="AF420" s="16">
        <v>0</v>
      </c>
      <c r="AG420" s="16">
        <v>0</v>
      </c>
      <c r="AH420" s="16">
        <v>0</v>
      </c>
      <c r="AI420" s="16">
        <v>0</v>
      </c>
      <c r="AJ420" s="16">
        <v>0</v>
      </c>
      <c r="AK420" s="16">
        <v>0</v>
      </c>
      <c r="AL420" s="16">
        <v>0</v>
      </c>
      <c r="AM420" s="16">
        <v>-801</v>
      </c>
      <c r="AN420" s="16">
        <v>0</v>
      </c>
      <c r="AO420" s="16">
        <v>-801</v>
      </c>
      <c r="AP420" s="16">
        <v>801</v>
      </c>
      <c r="AQ420" s="5" t="s">
        <v>159</v>
      </c>
    </row>
    <row r="421" spans="1:43" x14ac:dyDescent="0.3">
      <c r="A421" s="9" t="s">
        <v>863</v>
      </c>
      <c r="B421" s="11" t="s">
        <v>862</v>
      </c>
      <c r="C421" s="16">
        <v>81</v>
      </c>
      <c r="D421" s="16">
        <v>45</v>
      </c>
      <c r="E421" s="16">
        <v>7</v>
      </c>
      <c r="F421" s="16">
        <v>11</v>
      </c>
      <c r="G421" s="16">
        <v>4</v>
      </c>
      <c r="H421" s="16">
        <v>0</v>
      </c>
      <c r="I421" s="16">
        <v>76.62</v>
      </c>
      <c r="J421" s="16">
        <v>908</v>
      </c>
      <c r="K421" s="16">
        <v>0</v>
      </c>
      <c r="L421" s="16">
        <v>8</v>
      </c>
      <c r="M421" s="16">
        <v>0</v>
      </c>
      <c r="N421" s="16">
        <v>0</v>
      </c>
      <c r="O421" s="16">
        <v>132</v>
      </c>
      <c r="P421" s="16">
        <v>0</v>
      </c>
      <c r="Q421" s="16">
        <v>10</v>
      </c>
      <c r="R421" s="16">
        <v>0</v>
      </c>
      <c r="S421" s="16">
        <v>0</v>
      </c>
      <c r="T421" s="16">
        <v>0</v>
      </c>
      <c r="U421" s="16">
        <v>0</v>
      </c>
      <c r="V421" s="16">
        <v>132</v>
      </c>
      <c r="W421" s="16">
        <v>103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  <c r="AC421" s="16">
        <v>36</v>
      </c>
      <c r="AD421" s="16">
        <v>985</v>
      </c>
      <c r="AE421" s="16">
        <v>985</v>
      </c>
      <c r="AF421" s="16">
        <v>184</v>
      </c>
      <c r="AG421" s="16">
        <v>13</v>
      </c>
      <c r="AH421" s="16">
        <v>0</v>
      </c>
      <c r="AI421" s="16">
        <v>0</v>
      </c>
      <c r="AJ421" s="16">
        <v>0</v>
      </c>
      <c r="AK421" s="16">
        <v>4</v>
      </c>
      <c r="AL421" s="16">
        <v>0</v>
      </c>
      <c r="AM421" s="16">
        <v>-2403</v>
      </c>
      <c r="AN421" s="16">
        <v>0</v>
      </c>
      <c r="AO421" s="16">
        <v>-2386</v>
      </c>
      <c r="AP421" s="16">
        <v>2570</v>
      </c>
      <c r="AQ421" s="5" t="s">
        <v>159</v>
      </c>
    </row>
    <row r="422" spans="1:43" x14ac:dyDescent="0.3">
      <c r="A422" s="9" t="s">
        <v>865</v>
      </c>
      <c r="B422" s="11" t="s">
        <v>864</v>
      </c>
      <c r="C422" s="16">
        <v>0</v>
      </c>
      <c r="D422" s="16">
        <v>0</v>
      </c>
      <c r="E422" s="16">
        <v>0</v>
      </c>
      <c r="F422" s="16">
        <v>0</v>
      </c>
      <c r="G422" s="16">
        <v>0</v>
      </c>
      <c r="H422" s="16">
        <v>0</v>
      </c>
      <c r="I422" s="16">
        <v>0</v>
      </c>
      <c r="J422" s="16">
        <v>1248</v>
      </c>
      <c r="K422" s="16">
        <v>0</v>
      </c>
      <c r="L422" s="16">
        <v>11</v>
      </c>
      <c r="M422" s="16">
        <v>0</v>
      </c>
      <c r="N422" s="16">
        <v>0</v>
      </c>
      <c r="O422" s="16">
        <v>262</v>
      </c>
      <c r="P422" s="16">
        <v>0</v>
      </c>
      <c r="Q422" s="16">
        <v>10</v>
      </c>
      <c r="R422" s="16">
        <v>0</v>
      </c>
      <c r="S422" s="16">
        <v>0</v>
      </c>
      <c r="T422" s="16">
        <v>0</v>
      </c>
      <c r="U422" s="16">
        <v>0</v>
      </c>
      <c r="V422" s="16">
        <v>262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  <c r="AC422" s="16">
        <v>0</v>
      </c>
      <c r="AD422" s="16">
        <v>1248</v>
      </c>
      <c r="AE422" s="16">
        <v>1248</v>
      </c>
      <c r="AF422" s="16">
        <v>0</v>
      </c>
      <c r="AG422" s="16">
        <v>0</v>
      </c>
      <c r="AH422" s="16">
        <v>0</v>
      </c>
      <c r="AI422" s="16">
        <v>0</v>
      </c>
      <c r="AJ422" s="16">
        <v>0</v>
      </c>
      <c r="AK422" s="16">
        <v>0</v>
      </c>
      <c r="AL422" s="16">
        <v>0</v>
      </c>
      <c r="AM422" s="16">
        <v>-2403</v>
      </c>
      <c r="AN422" s="16">
        <v>0</v>
      </c>
      <c r="AO422" s="16">
        <v>-2403</v>
      </c>
      <c r="AP422" s="16">
        <v>2403</v>
      </c>
      <c r="AQ422" s="5" t="s">
        <v>159</v>
      </c>
    </row>
    <row r="423" spans="1:43" x14ac:dyDescent="0.3">
      <c r="A423" s="9" t="s">
        <v>867</v>
      </c>
      <c r="B423" s="11" t="s">
        <v>866</v>
      </c>
      <c r="C423" s="16">
        <v>884</v>
      </c>
      <c r="D423" s="16">
        <v>482</v>
      </c>
      <c r="E423" s="16">
        <v>80</v>
      </c>
      <c r="F423" s="16">
        <v>112</v>
      </c>
      <c r="G423" s="16">
        <v>48</v>
      </c>
      <c r="H423" s="16">
        <v>0</v>
      </c>
      <c r="I423" s="16">
        <v>518.77</v>
      </c>
      <c r="J423" s="16">
        <v>2856</v>
      </c>
      <c r="K423" s="16">
        <v>0</v>
      </c>
      <c r="L423" s="16">
        <v>36</v>
      </c>
      <c r="M423" s="16">
        <v>0</v>
      </c>
      <c r="N423" s="16">
        <v>1000</v>
      </c>
      <c r="O423" s="16">
        <v>0</v>
      </c>
      <c r="P423" s="16">
        <v>1000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  <c r="AC423" s="16">
        <v>0</v>
      </c>
      <c r="AD423" s="16">
        <v>5375</v>
      </c>
      <c r="AE423" s="16">
        <v>5375</v>
      </c>
      <c r="AF423" s="16">
        <v>1606</v>
      </c>
      <c r="AG423" s="16">
        <v>0</v>
      </c>
      <c r="AH423" s="16">
        <v>0</v>
      </c>
      <c r="AI423" s="16">
        <v>0</v>
      </c>
      <c r="AJ423" s="16">
        <v>0</v>
      </c>
      <c r="AK423" s="16">
        <v>64</v>
      </c>
      <c r="AL423" s="16">
        <v>0</v>
      </c>
      <c r="AM423" s="16">
        <v>0</v>
      </c>
      <c r="AN423" s="16">
        <v>0</v>
      </c>
      <c r="AO423" s="16">
        <v>64</v>
      </c>
      <c r="AP423" s="16">
        <v>1542</v>
      </c>
      <c r="AQ423" s="5" t="s">
        <v>159</v>
      </c>
    </row>
    <row r="424" spans="1:43" x14ac:dyDescent="0.3">
      <c r="A424" s="9" t="s">
        <v>869</v>
      </c>
      <c r="B424" s="11" t="s">
        <v>868</v>
      </c>
      <c r="C424" s="16">
        <v>0</v>
      </c>
      <c r="D424" s="16">
        <v>0</v>
      </c>
      <c r="E424" s="16">
        <v>0</v>
      </c>
      <c r="F424" s="16">
        <v>0</v>
      </c>
      <c r="G424" s="16">
        <v>0</v>
      </c>
      <c r="H424" s="16">
        <v>0</v>
      </c>
      <c r="I424" s="16">
        <v>115.46</v>
      </c>
      <c r="J424" s="16">
        <v>2460</v>
      </c>
      <c r="K424" s="16">
        <v>0</v>
      </c>
      <c r="L424" s="16">
        <v>16</v>
      </c>
      <c r="M424" s="16">
        <v>0</v>
      </c>
      <c r="N424" s="16">
        <v>0</v>
      </c>
      <c r="O424" s="16">
        <v>138</v>
      </c>
      <c r="P424" s="16">
        <v>0</v>
      </c>
      <c r="Q424" s="16">
        <v>7.5</v>
      </c>
      <c r="R424" s="16">
        <v>0</v>
      </c>
      <c r="S424" s="16">
        <v>0</v>
      </c>
      <c r="T424" s="16">
        <v>0</v>
      </c>
      <c r="U424" s="16">
        <v>0</v>
      </c>
      <c r="V424" s="16">
        <v>138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2575</v>
      </c>
      <c r="AE424" s="16">
        <v>2575</v>
      </c>
      <c r="AF424" s="16">
        <v>0</v>
      </c>
      <c r="AG424" s="16">
        <v>0</v>
      </c>
      <c r="AH424" s="16">
        <v>0</v>
      </c>
      <c r="AI424" s="16">
        <v>0</v>
      </c>
      <c r="AJ424" s="16">
        <v>0</v>
      </c>
      <c r="AK424" s="16">
        <v>0</v>
      </c>
      <c r="AL424" s="16">
        <v>0</v>
      </c>
      <c r="AM424" s="16">
        <v>-2403</v>
      </c>
      <c r="AN424" s="16">
        <v>0</v>
      </c>
      <c r="AO424" s="16">
        <v>-2403</v>
      </c>
      <c r="AP424" s="16">
        <v>2403</v>
      </c>
      <c r="AQ424" s="5" t="s">
        <v>159</v>
      </c>
    </row>
    <row r="425" spans="1:43" x14ac:dyDescent="0.3">
      <c r="A425" s="9" t="s">
        <v>871</v>
      </c>
      <c r="B425" s="11" t="s">
        <v>870</v>
      </c>
      <c r="C425" s="16">
        <v>0</v>
      </c>
      <c r="D425" s="16">
        <v>0</v>
      </c>
      <c r="E425" s="16">
        <v>0</v>
      </c>
      <c r="F425" s="16">
        <v>0</v>
      </c>
      <c r="G425" s="16">
        <v>0</v>
      </c>
      <c r="H425" s="16">
        <v>0</v>
      </c>
      <c r="I425" s="16">
        <v>0</v>
      </c>
      <c r="J425" s="16">
        <v>0</v>
      </c>
      <c r="K425" s="16">
        <v>0</v>
      </c>
      <c r="L425" s="16">
        <v>0</v>
      </c>
      <c r="M425" s="16">
        <v>0</v>
      </c>
      <c r="N425" s="16">
        <v>0</v>
      </c>
      <c r="O425" s="16">
        <v>29</v>
      </c>
      <c r="P425" s="16">
        <v>0</v>
      </c>
      <c r="Q425" s="16">
        <v>1.5</v>
      </c>
      <c r="R425" s="16">
        <v>0</v>
      </c>
      <c r="S425" s="16">
        <v>0</v>
      </c>
      <c r="T425" s="16">
        <v>0</v>
      </c>
      <c r="U425" s="16">
        <v>0</v>
      </c>
      <c r="V425" s="16">
        <v>29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0</v>
      </c>
      <c r="AF425" s="16">
        <v>0</v>
      </c>
      <c r="AG425" s="16">
        <v>0</v>
      </c>
      <c r="AH425" s="16">
        <v>0</v>
      </c>
      <c r="AI425" s="16">
        <v>0</v>
      </c>
      <c r="AJ425" s="16">
        <v>0</v>
      </c>
      <c r="AK425" s="16">
        <v>0</v>
      </c>
      <c r="AL425" s="16">
        <v>0</v>
      </c>
      <c r="AM425" s="16">
        <v>-2403</v>
      </c>
      <c r="AN425" s="16">
        <v>0</v>
      </c>
      <c r="AO425" s="16">
        <v>-2403</v>
      </c>
      <c r="AP425" s="16">
        <v>2403</v>
      </c>
      <c r="AQ425" s="5" t="s">
        <v>159</v>
      </c>
    </row>
    <row r="426" spans="1:43" x14ac:dyDescent="0.3">
      <c r="A426" s="9" t="s">
        <v>873</v>
      </c>
      <c r="B426" s="11" t="s">
        <v>872</v>
      </c>
      <c r="C426" s="16">
        <v>0</v>
      </c>
      <c r="D426" s="16">
        <v>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  <c r="AG426" s="16">
        <v>0</v>
      </c>
      <c r="AH426" s="16">
        <v>0</v>
      </c>
      <c r="AI426" s="16">
        <v>0</v>
      </c>
      <c r="AJ426" s="16">
        <v>-6968</v>
      </c>
      <c r="AK426" s="16">
        <v>0</v>
      </c>
      <c r="AL426" s="16">
        <v>0</v>
      </c>
      <c r="AM426" s="16">
        <v>-4005</v>
      </c>
      <c r="AN426" s="16">
        <v>0</v>
      </c>
      <c r="AO426" s="16">
        <v>-10973</v>
      </c>
      <c r="AP426" s="16">
        <v>10973</v>
      </c>
      <c r="AQ426" s="5" t="s">
        <v>159</v>
      </c>
    </row>
    <row r="427" spans="1:43" x14ac:dyDescent="0.3">
      <c r="A427" s="9" t="s">
        <v>875</v>
      </c>
      <c r="B427" s="11" t="s">
        <v>874</v>
      </c>
      <c r="C427" s="16">
        <v>0</v>
      </c>
      <c r="D427" s="16">
        <v>0</v>
      </c>
      <c r="E427" s="16">
        <v>0</v>
      </c>
      <c r="F427" s="16">
        <v>0</v>
      </c>
      <c r="G427" s="16">
        <v>0</v>
      </c>
      <c r="H427" s="16">
        <v>0</v>
      </c>
      <c r="I427" s="16">
        <v>0</v>
      </c>
      <c r="J427" s="16">
        <v>0</v>
      </c>
      <c r="K427" s="16">
        <v>0</v>
      </c>
      <c r="L427" s="16">
        <v>0</v>
      </c>
      <c r="M427" s="16">
        <v>0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  <c r="AG427" s="16">
        <v>0</v>
      </c>
      <c r="AH427" s="16">
        <v>0</v>
      </c>
      <c r="AI427" s="16">
        <v>0</v>
      </c>
      <c r="AJ427" s="16">
        <v>0</v>
      </c>
      <c r="AK427" s="16">
        <v>0</v>
      </c>
      <c r="AL427" s="16">
        <v>0</v>
      </c>
      <c r="AM427" s="16">
        <v>-2403</v>
      </c>
      <c r="AN427" s="16">
        <v>0</v>
      </c>
      <c r="AO427" s="16">
        <v>-2403</v>
      </c>
      <c r="AP427" s="16">
        <v>2403</v>
      </c>
      <c r="AQ427" s="5" t="s">
        <v>159</v>
      </c>
    </row>
    <row r="428" spans="1:43" x14ac:dyDescent="0.3">
      <c r="A428" s="9" t="s">
        <v>877</v>
      </c>
      <c r="B428" s="11" t="s">
        <v>876</v>
      </c>
      <c r="C428" s="16">
        <v>1026</v>
      </c>
      <c r="D428" s="16">
        <v>560</v>
      </c>
      <c r="E428" s="16">
        <v>94</v>
      </c>
      <c r="F428" s="16">
        <v>131</v>
      </c>
      <c r="G428" s="16">
        <v>56</v>
      </c>
      <c r="H428" s="16">
        <v>1000</v>
      </c>
      <c r="I428" s="16">
        <v>846.31</v>
      </c>
      <c r="J428" s="16">
        <v>2578</v>
      </c>
      <c r="K428" s="16">
        <v>1867</v>
      </c>
      <c r="L428" s="16">
        <v>28</v>
      </c>
      <c r="M428" s="16">
        <v>0</v>
      </c>
      <c r="N428" s="16">
        <v>0</v>
      </c>
      <c r="O428" s="16">
        <v>158</v>
      </c>
      <c r="P428" s="16">
        <v>0</v>
      </c>
      <c r="Q428" s="16">
        <v>9</v>
      </c>
      <c r="R428" s="16">
        <v>33</v>
      </c>
      <c r="S428" s="16">
        <v>144</v>
      </c>
      <c r="T428" s="16">
        <v>1</v>
      </c>
      <c r="U428" s="16">
        <v>5</v>
      </c>
      <c r="V428" s="16">
        <v>157</v>
      </c>
      <c r="W428" s="16">
        <v>1307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  <c r="AC428" s="16">
        <v>0</v>
      </c>
      <c r="AD428" s="16">
        <v>4424</v>
      </c>
      <c r="AE428" s="16">
        <v>4391</v>
      </c>
      <c r="AF428" s="16">
        <v>1867</v>
      </c>
      <c r="AG428" s="16">
        <v>157</v>
      </c>
      <c r="AH428" s="16">
        <v>14</v>
      </c>
      <c r="AI428" s="16">
        <v>0</v>
      </c>
      <c r="AJ428" s="16">
        <v>0</v>
      </c>
      <c r="AK428" s="16">
        <v>64</v>
      </c>
      <c r="AL428" s="16">
        <v>0</v>
      </c>
      <c r="AM428" s="16">
        <v>0</v>
      </c>
      <c r="AN428" s="16">
        <v>0</v>
      </c>
      <c r="AO428" s="16">
        <v>235</v>
      </c>
      <c r="AP428" s="16">
        <v>1632</v>
      </c>
      <c r="AQ428" s="5" t="s">
        <v>159</v>
      </c>
    </row>
    <row r="429" spans="1:43" x14ac:dyDescent="0.3">
      <c r="A429" s="9" t="s">
        <v>879</v>
      </c>
      <c r="B429" s="11" t="s">
        <v>878</v>
      </c>
      <c r="C429" s="16">
        <v>0</v>
      </c>
      <c r="D429" s="16">
        <v>0</v>
      </c>
      <c r="E429" s="16">
        <v>0</v>
      </c>
      <c r="F429" s="16">
        <v>0</v>
      </c>
      <c r="G429" s="16">
        <v>0</v>
      </c>
      <c r="H429" s="16">
        <v>0</v>
      </c>
      <c r="I429" s="16">
        <v>0</v>
      </c>
      <c r="J429" s="16">
        <v>7265</v>
      </c>
      <c r="K429" s="16">
        <v>0</v>
      </c>
      <c r="L429" s="16">
        <v>39</v>
      </c>
      <c r="M429" s="16">
        <v>0</v>
      </c>
      <c r="N429" s="16">
        <v>0</v>
      </c>
      <c r="O429" s="16">
        <v>248</v>
      </c>
      <c r="P429" s="16">
        <v>0</v>
      </c>
      <c r="Q429" s="16">
        <v>10</v>
      </c>
      <c r="R429" s="16">
        <v>0</v>
      </c>
      <c r="S429" s="16">
        <v>0</v>
      </c>
      <c r="T429" s="16">
        <v>0</v>
      </c>
      <c r="U429" s="16">
        <v>0</v>
      </c>
      <c r="V429" s="16">
        <v>248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7265</v>
      </c>
      <c r="AE429" s="16">
        <v>7265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-2403</v>
      </c>
      <c r="AN429" s="16">
        <v>0</v>
      </c>
      <c r="AO429" s="16">
        <v>-2403</v>
      </c>
      <c r="AP429" s="16">
        <v>2403</v>
      </c>
      <c r="AQ429" s="5" t="s">
        <v>159</v>
      </c>
    </row>
    <row r="430" spans="1:43" x14ac:dyDescent="0.3">
      <c r="A430" s="9" t="s">
        <v>881</v>
      </c>
      <c r="B430" s="11" t="s">
        <v>880</v>
      </c>
      <c r="C430" s="16">
        <v>0</v>
      </c>
      <c r="D430" s="16">
        <v>0</v>
      </c>
      <c r="E430" s="16">
        <v>0</v>
      </c>
      <c r="F430" s="16">
        <v>0</v>
      </c>
      <c r="G430" s="16">
        <v>0</v>
      </c>
      <c r="H430" s="16">
        <v>0</v>
      </c>
      <c r="I430" s="16">
        <v>0</v>
      </c>
      <c r="J430" s="16">
        <v>0</v>
      </c>
      <c r="K430" s="16">
        <v>0</v>
      </c>
      <c r="L430" s="16">
        <v>0</v>
      </c>
      <c r="M430" s="16">
        <v>0</v>
      </c>
      <c r="N430" s="16">
        <v>0</v>
      </c>
      <c r="O430" s="16">
        <v>-224</v>
      </c>
      <c r="P430" s="16">
        <v>0</v>
      </c>
      <c r="Q430" s="16">
        <v>-10</v>
      </c>
      <c r="R430" s="16">
        <v>0</v>
      </c>
      <c r="S430" s="16">
        <v>0</v>
      </c>
      <c r="T430" s="16">
        <v>0</v>
      </c>
      <c r="U430" s="16">
        <v>0</v>
      </c>
      <c r="V430" s="16">
        <v>-224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0</v>
      </c>
      <c r="AE430" s="16">
        <v>0</v>
      </c>
      <c r="AF430" s="16">
        <v>0</v>
      </c>
      <c r="AG430" s="16">
        <v>0</v>
      </c>
      <c r="AH430" s="16">
        <v>0</v>
      </c>
      <c r="AI430" s="16">
        <v>0</v>
      </c>
      <c r="AJ430" s="16">
        <v>0</v>
      </c>
      <c r="AK430" s="16">
        <v>0</v>
      </c>
      <c r="AL430" s="16">
        <v>0</v>
      </c>
      <c r="AM430" s="16">
        <v>-3204</v>
      </c>
      <c r="AN430" s="16">
        <v>0</v>
      </c>
      <c r="AO430" s="16">
        <v>-3204</v>
      </c>
      <c r="AP430" s="16">
        <v>3204</v>
      </c>
      <c r="AQ430" s="5" t="s">
        <v>159</v>
      </c>
    </row>
    <row r="431" spans="1:43" x14ac:dyDescent="0.3">
      <c r="A431" s="9" t="s">
        <v>883</v>
      </c>
      <c r="B431" s="11" t="s">
        <v>882</v>
      </c>
      <c r="C431" s="16">
        <v>0</v>
      </c>
      <c r="D431" s="16">
        <v>0</v>
      </c>
      <c r="E431" s="16">
        <v>0</v>
      </c>
      <c r="F431" s="16">
        <v>0</v>
      </c>
      <c r="G431" s="16">
        <v>0</v>
      </c>
      <c r="H431" s="16">
        <v>-1000</v>
      </c>
      <c r="I431" s="16">
        <v>0</v>
      </c>
      <c r="J431" s="16">
        <v>3111</v>
      </c>
      <c r="K431" s="16">
        <v>0</v>
      </c>
      <c r="L431" s="16">
        <v>24</v>
      </c>
      <c r="M431" s="16">
        <v>0</v>
      </c>
      <c r="N431" s="16">
        <v>0</v>
      </c>
      <c r="O431" s="16">
        <v>27</v>
      </c>
      <c r="P431" s="16">
        <v>0</v>
      </c>
      <c r="Q431" s="16">
        <v>1.5</v>
      </c>
      <c r="R431" s="16">
        <v>0</v>
      </c>
      <c r="S431" s="16">
        <v>0</v>
      </c>
      <c r="T431" s="16">
        <v>0</v>
      </c>
      <c r="U431" s="16">
        <v>0</v>
      </c>
      <c r="V431" s="16">
        <v>27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2111</v>
      </c>
      <c r="AE431" s="16">
        <v>2111</v>
      </c>
      <c r="AF431" s="16">
        <v>0</v>
      </c>
      <c r="AG431" s="16">
        <v>0</v>
      </c>
      <c r="AH431" s="16">
        <v>0</v>
      </c>
      <c r="AI431" s="16">
        <v>0</v>
      </c>
      <c r="AJ431" s="16">
        <v>0</v>
      </c>
      <c r="AK431" s="16">
        <v>0</v>
      </c>
      <c r="AL431" s="16">
        <v>0</v>
      </c>
      <c r="AM431" s="16">
        <v>-3204</v>
      </c>
      <c r="AN431" s="16">
        <v>0</v>
      </c>
      <c r="AO431" s="16">
        <v>-3204</v>
      </c>
      <c r="AP431" s="16">
        <v>3204</v>
      </c>
      <c r="AQ431" s="5" t="s">
        <v>159</v>
      </c>
    </row>
    <row r="432" spans="1:43" x14ac:dyDescent="0.3">
      <c r="A432" s="9" t="s">
        <v>885</v>
      </c>
      <c r="B432" s="11" t="s">
        <v>884</v>
      </c>
      <c r="C432" s="16">
        <v>39</v>
      </c>
      <c r="D432" s="16">
        <v>22</v>
      </c>
      <c r="E432" s="16">
        <v>3</v>
      </c>
      <c r="F432" s="16">
        <v>5</v>
      </c>
      <c r="G432" s="16">
        <v>2</v>
      </c>
      <c r="H432" s="16">
        <v>0</v>
      </c>
      <c r="I432" s="16">
        <v>0</v>
      </c>
      <c r="J432" s="16">
        <v>-1752</v>
      </c>
      <c r="K432" s="16">
        <v>71</v>
      </c>
      <c r="L432" s="16">
        <v>-16</v>
      </c>
      <c r="M432" s="16">
        <v>0</v>
      </c>
      <c r="N432" s="16">
        <v>0</v>
      </c>
      <c r="O432" s="16">
        <v>103</v>
      </c>
      <c r="P432" s="16">
        <v>0</v>
      </c>
      <c r="Q432" s="16">
        <v>10</v>
      </c>
      <c r="R432" s="16">
        <v>-13</v>
      </c>
      <c r="S432" s="16">
        <v>-57</v>
      </c>
      <c r="T432" s="16">
        <v>1</v>
      </c>
      <c r="U432" s="16">
        <v>3</v>
      </c>
      <c r="V432" s="16">
        <v>102</v>
      </c>
      <c r="W432" s="16">
        <v>49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-1752</v>
      </c>
      <c r="AE432" s="16">
        <v>-1739</v>
      </c>
      <c r="AF432" s="16">
        <v>71</v>
      </c>
      <c r="AG432" s="16">
        <v>5</v>
      </c>
      <c r="AH432" s="16">
        <v>1</v>
      </c>
      <c r="AI432" s="16">
        <v>0</v>
      </c>
      <c r="AJ432" s="16">
        <v>0</v>
      </c>
      <c r="AK432" s="16">
        <v>2</v>
      </c>
      <c r="AL432" s="16">
        <v>0</v>
      </c>
      <c r="AM432" s="16">
        <v>0</v>
      </c>
      <c r="AN432" s="16">
        <v>0</v>
      </c>
      <c r="AO432" s="16">
        <v>8</v>
      </c>
      <c r="AP432" s="16">
        <v>63</v>
      </c>
      <c r="AQ432" s="5" t="s">
        <v>159</v>
      </c>
    </row>
    <row r="433" spans="1:43" x14ac:dyDescent="0.3">
      <c r="A433" s="9" t="s">
        <v>887</v>
      </c>
      <c r="B433" s="11" t="s">
        <v>886</v>
      </c>
      <c r="C433" s="16">
        <v>0</v>
      </c>
      <c r="D433" s="16">
        <v>0</v>
      </c>
      <c r="E433" s="16">
        <v>0</v>
      </c>
      <c r="F433" s="16">
        <v>0</v>
      </c>
      <c r="G433" s="16">
        <v>0</v>
      </c>
      <c r="H433" s="16">
        <v>0</v>
      </c>
      <c r="I433" s="16">
        <v>0</v>
      </c>
      <c r="J433" s="16">
        <v>0</v>
      </c>
      <c r="K433" s="16">
        <v>0</v>
      </c>
      <c r="L433" s="16">
        <v>0</v>
      </c>
      <c r="M433" s="16">
        <v>0</v>
      </c>
      <c r="N433" s="16">
        <v>0</v>
      </c>
      <c r="O433" s="16">
        <v>156</v>
      </c>
      <c r="P433" s="16">
        <v>0</v>
      </c>
      <c r="Q433" s="16">
        <v>4.5</v>
      </c>
      <c r="R433" s="16">
        <v>0</v>
      </c>
      <c r="S433" s="16">
        <v>0</v>
      </c>
      <c r="T433" s="16">
        <v>0</v>
      </c>
      <c r="U433" s="16">
        <v>0</v>
      </c>
      <c r="V433" s="16">
        <v>156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  <c r="AC433" s="16">
        <v>0</v>
      </c>
      <c r="AD433" s="16">
        <v>0</v>
      </c>
      <c r="AE433" s="16">
        <v>0</v>
      </c>
      <c r="AF433" s="16">
        <v>0</v>
      </c>
      <c r="AG433" s="16">
        <v>0</v>
      </c>
      <c r="AH433" s="16">
        <v>0</v>
      </c>
      <c r="AI433" s="16">
        <v>0</v>
      </c>
      <c r="AJ433" s="16">
        <v>0</v>
      </c>
      <c r="AK433" s="16">
        <v>0</v>
      </c>
      <c r="AL433" s="16">
        <v>0</v>
      </c>
      <c r="AM433" s="16">
        <v>-4005</v>
      </c>
      <c r="AN433" s="16">
        <v>0</v>
      </c>
      <c r="AO433" s="16">
        <v>-4005</v>
      </c>
      <c r="AP433" s="16">
        <v>4005</v>
      </c>
      <c r="AQ433" s="5" t="s">
        <v>159</v>
      </c>
    </row>
    <row r="434" spans="1:43" x14ac:dyDescent="0.3">
      <c r="A434" s="9" t="s">
        <v>889</v>
      </c>
      <c r="B434" s="11" t="s">
        <v>888</v>
      </c>
      <c r="C434" s="16">
        <v>0</v>
      </c>
      <c r="D434" s="16">
        <v>0</v>
      </c>
      <c r="E434" s="16">
        <v>0</v>
      </c>
      <c r="F434" s="16">
        <v>0</v>
      </c>
      <c r="G434" s="16">
        <v>0</v>
      </c>
      <c r="H434" s="16">
        <v>0</v>
      </c>
      <c r="I434" s="16">
        <v>0</v>
      </c>
      <c r="J434" s="16">
        <v>2254</v>
      </c>
      <c r="K434" s="16">
        <v>0</v>
      </c>
      <c r="L434" s="16">
        <v>20</v>
      </c>
      <c r="M434" s="16">
        <v>0</v>
      </c>
      <c r="N434" s="16">
        <v>0</v>
      </c>
      <c r="O434" s="16">
        <v>137</v>
      </c>
      <c r="P434" s="16">
        <v>0</v>
      </c>
      <c r="Q434" s="16">
        <v>10</v>
      </c>
      <c r="R434" s="16">
        <v>0</v>
      </c>
      <c r="S434" s="16">
        <v>0</v>
      </c>
      <c r="T434" s="16">
        <v>0</v>
      </c>
      <c r="U434" s="16">
        <v>0</v>
      </c>
      <c r="V434" s="16">
        <v>137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  <c r="AC434" s="16">
        <v>0</v>
      </c>
      <c r="AD434" s="16">
        <v>2254</v>
      </c>
      <c r="AE434" s="16">
        <v>2254</v>
      </c>
      <c r="AF434" s="16">
        <v>0</v>
      </c>
      <c r="AG434" s="16">
        <v>0</v>
      </c>
      <c r="AH434" s="16">
        <v>0</v>
      </c>
      <c r="AI434" s="16">
        <v>0</v>
      </c>
      <c r="AJ434" s="16">
        <v>0</v>
      </c>
      <c r="AK434" s="16">
        <v>0</v>
      </c>
      <c r="AL434" s="16">
        <v>0</v>
      </c>
      <c r="AM434" s="16">
        <v>-1602</v>
      </c>
      <c r="AN434" s="16">
        <v>0</v>
      </c>
      <c r="AO434" s="16">
        <v>-1602</v>
      </c>
      <c r="AP434" s="16">
        <v>1602</v>
      </c>
      <c r="AQ434" s="5" t="s">
        <v>159</v>
      </c>
    </row>
    <row r="435" spans="1:43" x14ac:dyDescent="0.3">
      <c r="A435" s="9" t="s">
        <v>891</v>
      </c>
      <c r="B435" s="11" t="s">
        <v>890</v>
      </c>
      <c r="C435" s="16">
        <v>-708</v>
      </c>
      <c r="D435" s="16">
        <v>-386</v>
      </c>
      <c r="E435" s="16">
        <v>-64</v>
      </c>
      <c r="F435" s="16">
        <v>-90</v>
      </c>
      <c r="G435" s="16">
        <v>-39</v>
      </c>
      <c r="H435" s="16">
        <v>-1000</v>
      </c>
      <c r="I435" s="16">
        <v>76.459999999999994</v>
      </c>
      <c r="J435" s="16">
        <v>-1267</v>
      </c>
      <c r="K435" s="16">
        <v>-1287</v>
      </c>
      <c r="L435" s="16">
        <v>-12</v>
      </c>
      <c r="M435" s="16">
        <v>0</v>
      </c>
      <c r="N435" s="16">
        <v>-500</v>
      </c>
      <c r="O435" s="16">
        <v>16</v>
      </c>
      <c r="P435" s="16">
        <v>0</v>
      </c>
      <c r="Q435" s="16">
        <v>7.5</v>
      </c>
      <c r="R435" s="16">
        <v>-20</v>
      </c>
      <c r="S435" s="16">
        <v>-87</v>
      </c>
      <c r="T435" s="16">
        <v>0</v>
      </c>
      <c r="U435" s="16">
        <v>0</v>
      </c>
      <c r="V435" s="16">
        <v>16</v>
      </c>
      <c r="W435" s="16">
        <v>0</v>
      </c>
      <c r="X435" s="16">
        <v>-500</v>
      </c>
      <c r="Y435" s="16">
        <v>-3.75</v>
      </c>
      <c r="Z435" s="16">
        <v>-16.25</v>
      </c>
      <c r="AA435" s="16">
        <v>-483.75</v>
      </c>
      <c r="AB435" s="16">
        <v>0</v>
      </c>
      <c r="AC435" s="16">
        <v>0</v>
      </c>
      <c r="AD435" s="16">
        <v>-2691</v>
      </c>
      <c r="AE435" s="16">
        <v>-2671</v>
      </c>
      <c r="AF435" s="16">
        <v>-1287</v>
      </c>
      <c r="AG435" s="16">
        <v>0</v>
      </c>
      <c r="AH435" s="16">
        <v>-9</v>
      </c>
      <c r="AI435" s="16">
        <v>0</v>
      </c>
      <c r="AJ435" s="16">
        <v>0</v>
      </c>
      <c r="AK435" s="16">
        <v>-39</v>
      </c>
      <c r="AL435" s="16">
        <v>0</v>
      </c>
      <c r="AM435" s="16">
        <v>0</v>
      </c>
      <c r="AN435" s="16">
        <v>0</v>
      </c>
      <c r="AO435" s="16">
        <v>-48</v>
      </c>
      <c r="AP435" s="16">
        <v>-1239</v>
      </c>
      <c r="AQ435" s="5" t="s">
        <v>159</v>
      </c>
    </row>
    <row r="436" spans="1:43" x14ac:dyDescent="0.3">
      <c r="A436" s="9" t="s">
        <v>893</v>
      </c>
      <c r="B436" s="11" t="s">
        <v>892</v>
      </c>
      <c r="C436" s="16">
        <v>-1003</v>
      </c>
      <c r="D436" s="16">
        <v>-548</v>
      </c>
      <c r="E436" s="16">
        <v>-91</v>
      </c>
      <c r="F436" s="16">
        <v>-127</v>
      </c>
      <c r="G436" s="16">
        <v>-54</v>
      </c>
      <c r="H436" s="16">
        <v>0</v>
      </c>
      <c r="I436" s="16">
        <v>0</v>
      </c>
      <c r="J436" s="16">
        <v>3887</v>
      </c>
      <c r="K436" s="16">
        <v>-2005</v>
      </c>
      <c r="L436" s="16">
        <v>39</v>
      </c>
      <c r="M436" s="16">
        <v>0</v>
      </c>
      <c r="N436" s="16">
        <v>0</v>
      </c>
      <c r="O436" s="16">
        <v>-426</v>
      </c>
      <c r="P436" s="16">
        <v>0</v>
      </c>
      <c r="Q436" s="16">
        <v>-32.5</v>
      </c>
      <c r="R436" s="16">
        <v>29</v>
      </c>
      <c r="S436" s="16">
        <v>126</v>
      </c>
      <c r="T436" s="16">
        <v>-3</v>
      </c>
      <c r="U436" s="16">
        <v>-13</v>
      </c>
      <c r="V436" s="16">
        <v>-423</v>
      </c>
      <c r="W436" s="16">
        <v>-1275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-182</v>
      </c>
      <c r="AD436" s="16">
        <v>3887</v>
      </c>
      <c r="AE436" s="16">
        <v>3858</v>
      </c>
      <c r="AF436" s="16">
        <v>-2005</v>
      </c>
      <c r="AG436" s="16">
        <v>-153</v>
      </c>
      <c r="AH436" s="16">
        <v>-15</v>
      </c>
      <c r="AI436" s="16">
        <v>0</v>
      </c>
      <c r="AJ436" s="16">
        <v>0</v>
      </c>
      <c r="AK436" s="16">
        <v>0</v>
      </c>
      <c r="AL436" s="16">
        <v>0</v>
      </c>
      <c r="AM436" s="16">
        <v>0</v>
      </c>
      <c r="AN436" s="16">
        <v>0</v>
      </c>
      <c r="AO436" s="16">
        <v>-168</v>
      </c>
      <c r="AP436" s="16">
        <v>-1837</v>
      </c>
      <c r="AQ436" s="5" t="s">
        <v>159</v>
      </c>
    </row>
    <row r="437" spans="1:43" x14ac:dyDescent="0.3">
      <c r="A437" s="9" t="s">
        <v>895</v>
      </c>
      <c r="B437" s="11" t="s">
        <v>894</v>
      </c>
      <c r="C437" s="16">
        <v>0</v>
      </c>
      <c r="D437" s="16">
        <v>0</v>
      </c>
      <c r="E437" s="16">
        <v>0</v>
      </c>
      <c r="F437" s="16">
        <v>0</v>
      </c>
      <c r="G437" s="16">
        <v>0</v>
      </c>
      <c r="H437" s="16">
        <v>0</v>
      </c>
      <c r="I437" s="16">
        <v>0</v>
      </c>
      <c r="J437" s="16">
        <v>-764</v>
      </c>
      <c r="K437" s="16">
        <v>0</v>
      </c>
      <c r="L437" s="16">
        <v>-8</v>
      </c>
      <c r="M437" s="16">
        <v>0</v>
      </c>
      <c r="N437" s="16">
        <v>0</v>
      </c>
      <c r="O437" s="16">
        <v>53</v>
      </c>
      <c r="P437" s="16">
        <v>0</v>
      </c>
      <c r="Q437" s="16">
        <v>5</v>
      </c>
      <c r="R437" s="16">
        <v>0</v>
      </c>
      <c r="S437" s="16">
        <v>0</v>
      </c>
      <c r="T437" s="16">
        <v>0</v>
      </c>
      <c r="U437" s="16">
        <v>0</v>
      </c>
      <c r="V437" s="16">
        <v>53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-764</v>
      </c>
      <c r="AE437" s="16">
        <v>-764</v>
      </c>
      <c r="AF437" s="16">
        <v>0</v>
      </c>
      <c r="AG437" s="16">
        <v>0</v>
      </c>
      <c r="AH437" s="16">
        <v>0</v>
      </c>
      <c r="AI437" s="16">
        <v>0</v>
      </c>
      <c r="AJ437" s="16">
        <v>0</v>
      </c>
      <c r="AK437" s="16">
        <v>0</v>
      </c>
      <c r="AL437" s="16">
        <v>0</v>
      </c>
      <c r="AM437" s="16">
        <v>0</v>
      </c>
      <c r="AN437" s="16">
        <v>0</v>
      </c>
      <c r="AO437" s="16">
        <v>0</v>
      </c>
      <c r="AP437" s="16">
        <v>0</v>
      </c>
      <c r="AQ437" s="5" t="s">
        <v>159</v>
      </c>
    </row>
    <row r="438" spans="1:43" x14ac:dyDescent="0.3">
      <c r="A438" s="9" t="s">
        <v>897</v>
      </c>
      <c r="B438" s="11" t="s">
        <v>896</v>
      </c>
      <c r="C438" s="16">
        <v>0</v>
      </c>
      <c r="D438" s="16">
        <v>0</v>
      </c>
      <c r="E438" s="16">
        <v>0</v>
      </c>
      <c r="F438" s="16">
        <v>0</v>
      </c>
      <c r="G438" s="16">
        <v>0</v>
      </c>
      <c r="H438" s="16">
        <v>0</v>
      </c>
      <c r="I438" s="16">
        <v>470.77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138</v>
      </c>
      <c r="P438" s="16">
        <v>0</v>
      </c>
      <c r="Q438" s="16">
        <v>10</v>
      </c>
      <c r="R438" s="16">
        <v>0</v>
      </c>
      <c r="S438" s="16">
        <v>0</v>
      </c>
      <c r="T438" s="16">
        <v>0</v>
      </c>
      <c r="U438" s="16">
        <v>0</v>
      </c>
      <c r="V438" s="16">
        <v>138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471</v>
      </c>
      <c r="AE438" s="16">
        <v>471</v>
      </c>
      <c r="AF438" s="16">
        <v>0</v>
      </c>
      <c r="AG438" s="16">
        <v>0</v>
      </c>
      <c r="AH438" s="16">
        <v>0</v>
      </c>
      <c r="AI438" s="16">
        <v>0</v>
      </c>
      <c r="AJ438" s="16">
        <v>0</v>
      </c>
      <c r="AK438" s="16">
        <v>0</v>
      </c>
      <c r="AL438" s="16">
        <v>0</v>
      </c>
      <c r="AM438" s="16">
        <v>-3204</v>
      </c>
      <c r="AN438" s="16">
        <v>0</v>
      </c>
      <c r="AO438" s="16">
        <v>-3204</v>
      </c>
      <c r="AP438" s="16">
        <v>3204</v>
      </c>
      <c r="AQ438" s="5" t="s">
        <v>159</v>
      </c>
    </row>
    <row r="439" spans="1:43" x14ac:dyDescent="0.3">
      <c r="A439" s="9" t="s">
        <v>899</v>
      </c>
      <c r="B439" s="11" t="s">
        <v>898</v>
      </c>
      <c r="C439" s="16">
        <v>-6979</v>
      </c>
      <c r="D439" s="16">
        <v>-3807</v>
      </c>
      <c r="E439" s="16">
        <v>-635</v>
      </c>
      <c r="F439" s="16">
        <v>-888</v>
      </c>
      <c r="G439" s="16">
        <v>-381</v>
      </c>
      <c r="H439" s="16">
        <v>0</v>
      </c>
      <c r="I439" s="16">
        <v>0</v>
      </c>
      <c r="J439" s="16">
        <v>-3170</v>
      </c>
      <c r="K439" s="16">
        <v>0</v>
      </c>
      <c r="L439" s="16">
        <v>-32</v>
      </c>
      <c r="M439" s="16">
        <v>0</v>
      </c>
      <c r="N439" s="16">
        <v>0</v>
      </c>
      <c r="O439" s="16">
        <v>-772</v>
      </c>
      <c r="P439" s="16">
        <v>0</v>
      </c>
      <c r="Q439" s="16">
        <v>-32.5</v>
      </c>
      <c r="R439" s="16">
        <v>0</v>
      </c>
      <c r="S439" s="16">
        <v>0</v>
      </c>
      <c r="T439" s="16">
        <v>0</v>
      </c>
      <c r="U439" s="16">
        <v>0</v>
      </c>
      <c r="V439" s="16">
        <v>-772</v>
      </c>
      <c r="W439" s="16">
        <v>-8883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  <c r="AC439" s="16">
        <v>-1904</v>
      </c>
      <c r="AD439" s="16">
        <v>-3170</v>
      </c>
      <c r="AE439" s="16">
        <v>-3170</v>
      </c>
      <c r="AF439" s="16">
        <v>-14594</v>
      </c>
      <c r="AG439" s="16">
        <v>-1066</v>
      </c>
      <c r="AH439" s="16">
        <v>0</v>
      </c>
      <c r="AI439" s="16">
        <v>-136</v>
      </c>
      <c r="AJ439" s="16">
        <v>0</v>
      </c>
      <c r="AK439" s="16">
        <v>-406</v>
      </c>
      <c r="AL439" s="16">
        <v>0</v>
      </c>
      <c r="AM439" s="16">
        <v>-801</v>
      </c>
      <c r="AN439" s="16">
        <v>0</v>
      </c>
      <c r="AO439" s="16">
        <v>-2409</v>
      </c>
      <c r="AP439" s="16">
        <v>-12185</v>
      </c>
      <c r="AQ439" s="5" t="s">
        <v>159</v>
      </c>
    </row>
    <row r="440" spans="1:43" x14ac:dyDescent="0.3">
      <c r="A440" s="9" t="s">
        <v>901</v>
      </c>
      <c r="B440" s="11" t="s">
        <v>900</v>
      </c>
      <c r="C440" s="16">
        <v>0</v>
      </c>
      <c r="D440" s="16">
        <v>0</v>
      </c>
      <c r="E440" s="16">
        <v>0</v>
      </c>
      <c r="F440" s="16">
        <v>0</v>
      </c>
      <c r="G440" s="16">
        <v>0</v>
      </c>
      <c r="H440" s="16">
        <v>0</v>
      </c>
      <c r="I440" s="16">
        <v>0</v>
      </c>
      <c r="J440" s="16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130</v>
      </c>
      <c r="P440" s="16">
        <v>0</v>
      </c>
      <c r="Q440" s="16">
        <v>10</v>
      </c>
      <c r="R440" s="16">
        <v>0</v>
      </c>
      <c r="S440" s="16">
        <v>0</v>
      </c>
      <c r="T440" s="16">
        <v>0</v>
      </c>
      <c r="U440" s="16">
        <v>0</v>
      </c>
      <c r="V440" s="16">
        <v>130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6">
        <v>0</v>
      </c>
      <c r="AC440" s="16">
        <v>0</v>
      </c>
      <c r="AD440" s="16">
        <v>0</v>
      </c>
      <c r="AE440" s="16">
        <v>0</v>
      </c>
      <c r="AF440" s="16">
        <v>0</v>
      </c>
      <c r="AG440" s="16">
        <v>0</v>
      </c>
      <c r="AH440" s="16">
        <v>0</v>
      </c>
      <c r="AI440" s="16">
        <v>0</v>
      </c>
      <c r="AJ440" s="16">
        <v>0</v>
      </c>
      <c r="AK440" s="16">
        <v>0</v>
      </c>
      <c r="AL440" s="16">
        <v>0</v>
      </c>
      <c r="AM440" s="16">
        <v>-2403</v>
      </c>
      <c r="AN440" s="16">
        <v>0</v>
      </c>
      <c r="AO440" s="16">
        <v>-2403</v>
      </c>
      <c r="AP440" s="16">
        <v>2403</v>
      </c>
      <c r="AQ440" s="5" t="s">
        <v>159</v>
      </c>
    </row>
    <row r="441" spans="1:43" x14ac:dyDescent="0.3">
      <c r="A441" s="9" t="s">
        <v>903</v>
      </c>
      <c r="B441" s="11" t="s">
        <v>902</v>
      </c>
      <c r="C441" s="16">
        <v>-848</v>
      </c>
      <c r="D441" s="16">
        <v>-462</v>
      </c>
      <c r="E441" s="16">
        <v>-78</v>
      </c>
      <c r="F441" s="16">
        <v>-108</v>
      </c>
      <c r="G441" s="16">
        <v>-46</v>
      </c>
      <c r="H441" s="16">
        <v>0</v>
      </c>
      <c r="I441" s="16">
        <v>-77.23</v>
      </c>
      <c r="J441" s="16">
        <v>1348</v>
      </c>
      <c r="K441" s="16">
        <v>-1850</v>
      </c>
      <c r="L441" s="16">
        <v>16</v>
      </c>
      <c r="M441" s="16">
        <v>0</v>
      </c>
      <c r="N441" s="16">
        <v>0</v>
      </c>
      <c r="O441" s="16">
        <v>-169</v>
      </c>
      <c r="P441" s="16">
        <v>0</v>
      </c>
      <c r="Q441" s="16">
        <v>-10</v>
      </c>
      <c r="R441" s="16">
        <v>10</v>
      </c>
      <c r="S441" s="16">
        <v>41</v>
      </c>
      <c r="T441" s="16">
        <v>-1</v>
      </c>
      <c r="U441" s="16">
        <v>-5</v>
      </c>
      <c r="V441" s="16">
        <v>-168</v>
      </c>
      <c r="W441" s="16">
        <v>-1080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  <c r="AC441" s="16">
        <v>-308</v>
      </c>
      <c r="AD441" s="16">
        <v>1271</v>
      </c>
      <c r="AE441" s="16">
        <v>1261</v>
      </c>
      <c r="AF441" s="16">
        <v>-1850</v>
      </c>
      <c r="AG441" s="16">
        <v>-129</v>
      </c>
      <c r="AH441" s="16">
        <v>-14</v>
      </c>
      <c r="AI441" s="16">
        <v>0</v>
      </c>
      <c r="AJ441" s="16">
        <v>0</v>
      </c>
      <c r="AK441" s="16">
        <v>-58</v>
      </c>
      <c r="AL441" s="16">
        <v>0</v>
      </c>
      <c r="AM441" s="16">
        <v>0</v>
      </c>
      <c r="AN441" s="16">
        <v>0</v>
      </c>
      <c r="AO441" s="16">
        <v>-201</v>
      </c>
      <c r="AP441" s="16">
        <v>-1649</v>
      </c>
      <c r="AQ441" s="5" t="s">
        <v>159</v>
      </c>
    </row>
    <row r="442" spans="1:43" x14ac:dyDescent="0.3">
      <c r="A442" s="9" t="s">
        <v>905</v>
      </c>
      <c r="B442" s="11" t="s">
        <v>904</v>
      </c>
      <c r="C442" s="16">
        <v>0</v>
      </c>
      <c r="D442" s="16">
        <v>0</v>
      </c>
      <c r="E442" s="16">
        <v>0</v>
      </c>
      <c r="F442" s="16">
        <v>0</v>
      </c>
      <c r="G442" s="16">
        <v>0</v>
      </c>
      <c r="H442" s="16">
        <v>1000</v>
      </c>
      <c r="I442" s="16">
        <v>-144.22999999999999</v>
      </c>
      <c r="J442" s="16">
        <v>-1119</v>
      </c>
      <c r="K442" s="16">
        <v>0</v>
      </c>
      <c r="L442" s="16">
        <v>-10</v>
      </c>
      <c r="M442" s="16">
        <v>0</v>
      </c>
      <c r="N442" s="16">
        <v>0</v>
      </c>
      <c r="O442" s="16">
        <v>102</v>
      </c>
      <c r="P442" s="16">
        <v>-500</v>
      </c>
      <c r="Q442" s="16">
        <v>7.5</v>
      </c>
      <c r="R442" s="16">
        <v>0</v>
      </c>
      <c r="S442" s="16">
        <v>0</v>
      </c>
      <c r="T442" s="16">
        <v>0</v>
      </c>
      <c r="U442" s="16">
        <v>0</v>
      </c>
      <c r="V442" s="16">
        <v>102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-763</v>
      </c>
      <c r="AE442" s="16">
        <v>-763</v>
      </c>
      <c r="AF442" s="16">
        <v>0</v>
      </c>
      <c r="AG442" s="16">
        <v>0</v>
      </c>
      <c r="AH442" s="16">
        <v>0</v>
      </c>
      <c r="AI442" s="16">
        <v>0</v>
      </c>
      <c r="AJ442" s="16">
        <v>0</v>
      </c>
      <c r="AK442" s="16">
        <v>0</v>
      </c>
      <c r="AL442" s="16">
        <v>0</v>
      </c>
      <c r="AM442" s="16">
        <v>-801</v>
      </c>
      <c r="AN442" s="16">
        <v>0</v>
      </c>
      <c r="AO442" s="16">
        <v>-801</v>
      </c>
      <c r="AP442" s="16">
        <v>801</v>
      </c>
      <c r="AQ442" s="5" t="s">
        <v>159</v>
      </c>
    </row>
    <row r="443" spans="1:43" x14ac:dyDescent="0.3">
      <c r="A443" s="9" t="s">
        <v>907</v>
      </c>
      <c r="B443" s="11" t="s">
        <v>906</v>
      </c>
      <c r="C443" s="16">
        <v>430</v>
      </c>
      <c r="D443" s="16">
        <v>234</v>
      </c>
      <c r="E443" s="16">
        <v>39</v>
      </c>
      <c r="F443" s="16">
        <v>55</v>
      </c>
      <c r="G443" s="16">
        <v>23</v>
      </c>
      <c r="H443" s="16">
        <v>0</v>
      </c>
      <c r="I443" s="16">
        <v>423.54</v>
      </c>
      <c r="J443" s="16">
        <v>1854</v>
      </c>
      <c r="K443" s="16">
        <v>0</v>
      </c>
      <c r="L443" s="16">
        <v>16</v>
      </c>
      <c r="M443" s="16">
        <v>0</v>
      </c>
      <c r="N443" s="16">
        <v>0</v>
      </c>
      <c r="O443" s="16">
        <v>-34</v>
      </c>
      <c r="P443" s="16">
        <v>0</v>
      </c>
      <c r="Q443" s="16">
        <v>-5</v>
      </c>
      <c r="R443" s="16">
        <v>0</v>
      </c>
      <c r="S443" s="16">
        <v>0</v>
      </c>
      <c r="T443" s="16">
        <v>0</v>
      </c>
      <c r="U443" s="16">
        <v>0</v>
      </c>
      <c r="V443" s="16">
        <v>-34</v>
      </c>
      <c r="W443" s="16">
        <v>547.71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  <c r="AC443" s="16">
        <v>231</v>
      </c>
      <c r="AD443" s="16">
        <v>2278</v>
      </c>
      <c r="AE443" s="16">
        <v>2278</v>
      </c>
      <c r="AF443" s="16">
        <v>1012</v>
      </c>
      <c r="AG443" s="16">
        <v>65</v>
      </c>
      <c r="AH443" s="16">
        <v>0</v>
      </c>
      <c r="AI443" s="16">
        <v>0</v>
      </c>
      <c r="AJ443" s="16">
        <v>0</v>
      </c>
      <c r="AK443" s="16">
        <v>21</v>
      </c>
      <c r="AL443" s="16">
        <v>0</v>
      </c>
      <c r="AM443" s="16">
        <v>-1602</v>
      </c>
      <c r="AN443" s="16">
        <v>0</v>
      </c>
      <c r="AO443" s="16">
        <v>-1516</v>
      </c>
      <c r="AP443" s="16">
        <v>2528</v>
      </c>
      <c r="AQ443" s="5" t="s">
        <v>159</v>
      </c>
    </row>
    <row r="444" spans="1:43" x14ac:dyDescent="0.3">
      <c r="A444" s="9" t="s">
        <v>909</v>
      </c>
      <c r="B444" s="11" t="s">
        <v>908</v>
      </c>
      <c r="C444" s="16">
        <v>-400</v>
      </c>
      <c r="D444" s="16">
        <v>-218</v>
      </c>
      <c r="E444" s="16">
        <v>-36</v>
      </c>
      <c r="F444" s="16">
        <v>-51</v>
      </c>
      <c r="G444" s="16">
        <v>-22</v>
      </c>
      <c r="H444" s="16">
        <v>0</v>
      </c>
      <c r="I444" s="16">
        <v>442.23</v>
      </c>
      <c r="J444" s="16">
        <v>1430</v>
      </c>
      <c r="K444" s="16">
        <v>0</v>
      </c>
      <c r="L444" s="16">
        <v>12</v>
      </c>
      <c r="M444" s="16">
        <v>0</v>
      </c>
      <c r="N444" s="16">
        <v>0</v>
      </c>
      <c r="O444" s="16">
        <v>72</v>
      </c>
      <c r="P444" s="16">
        <v>0</v>
      </c>
      <c r="Q444" s="16">
        <v>7.5</v>
      </c>
      <c r="R444" s="16">
        <v>0</v>
      </c>
      <c r="S444" s="16">
        <v>0</v>
      </c>
      <c r="T444" s="16">
        <v>0</v>
      </c>
      <c r="U444" s="16">
        <v>0</v>
      </c>
      <c r="V444" s="16">
        <v>72</v>
      </c>
      <c r="W444" s="16">
        <v>-508.58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-252</v>
      </c>
      <c r="AD444" s="16">
        <v>1872</v>
      </c>
      <c r="AE444" s="16">
        <v>1872</v>
      </c>
      <c r="AF444" s="16">
        <v>-979</v>
      </c>
      <c r="AG444" s="16">
        <v>-61</v>
      </c>
      <c r="AH444" s="16">
        <v>0</v>
      </c>
      <c r="AI444" s="16">
        <v>0</v>
      </c>
      <c r="AJ444" s="16">
        <v>0</v>
      </c>
      <c r="AK444" s="16">
        <v>-19</v>
      </c>
      <c r="AL444" s="16">
        <v>0</v>
      </c>
      <c r="AM444" s="16">
        <v>-801</v>
      </c>
      <c r="AN444" s="16">
        <v>0</v>
      </c>
      <c r="AO444" s="16">
        <v>-881</v>
      </c>
      <c r="AP444" s="16">
        <v>-98</v>
      </c>
      <c r="AQ444" s="5" t="s">
        <v>159</v>
      </c>
    </row>
    <row r="445" spans="1:43" x14ac:dyDescent="0.3">
      <c r="A445" s="9" t="s">
        <v>911</v>
      </c>
      <c r="B445" s="11" t="s">
        <v>910</v>
      </c>
      <c r="C445" s="16">
        <v>0</v>
      </c>
      <c r="D445" s="16">
        <v>0</v>
      </c>
      <c r="E445" s="16">
        <v>0</v>
      </c>
      <c r="F445" s="16">
        <v>0</v>
      </c>
      <c r="G445" s="16">
        <v>0</v>
      </c>
      <c r="H445" s="16">
        <v>0</v>
      </c>
      <c r="I445" s="16">
        <v>0</v>
      </c>
      <c r="J445" s="16">
        <v>0</v>
      </c>
      <c r="K445" s="16">
        <v>0</v>
      </c>
      <c r="L445" s="16">
        <v>0</v>
      </c>
      <c r="M445" s="16">
        <v>0</v>
      </c>
      <c r="N445" s="16">
        <v>0</v>
      </c>
      <c r="O445" s="16">
        <v>196</v>
      </c>
      <c r="P445" s="16">
        <v>0</v>
      </c>
      <c r="Q445" s="16">
        <v>1.5</v>
      </c>
      <c r="R445" s="16">
        <v>0</v>
      </c>
      <c r="S445" s="16">
        <v>0</v>
      </c>
      <c r="T445" s="16">
        <v>0</v>
      </c>
      <c r="U445" s="16">
        <v>0</v>
      </c>
      <c r="V445" s="16">
        <v>196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  <c r="AC445" s="16">
        <v>0</v>
      </c>
      <c r="AD445" s="16">
        <v>0</v>
      </c>
      <c r="AE445" s="16">
        <v>0</v>
      </c>
      <c r="AF445" s="16">
        <v>0</v>
      </c>
      <c r="AG445" s="16">
        <v>0</v>
      </c>
      <c r="AH445" s="16">
        <v>0</v>
      </c>
      <c r="AI445" s="16">
        <v>0</v>
      </c>
      <c r="AJ445" s="16">
        <v>-37674</v>
      </c>
      <c r="AK445" s="16">
        <v>0</v>
      </c>
      <c r="AL445" s="16">
        <v>0</v>
      </c>
      <c r="AM445" s="16">
        <v>-4806</v>
      </c>
      <c r="AN445" s="16">
        <v>0</v>
      </c>
      <c r="AO445" s="16">
        <v>-42480</v>
      </c>
      <c r="AP445" s="16">
        <v>42480</v>
      </c>
      <c r="AQ445" s="5" t="s">
        <v>159</v>
      </c>
    </row>
    <row r="446" spans="1:43" x14ac:dyDescent="0.3">
      <c r="A446" s="9" t="s">
        <v>913</v>
      </c>
      <c r="B446" s="11" t="s">
        <v>912</v>
      </c>
      <c r="C446" s="16">
        <v>-258</v>
      </c>
      <c r="D446" s="16">
        <v>-141</v>
      </c>
      <c r="E446" s="16">
        <v>-24</v>
      </c>
      <c r="F446" s="16">
        <v>-33</v>
      </c>
      <c r="G446" s="16">
        <v>-15</v>
      </c>
      <c r="H446" s="16">
        <v>0</v>
      </c>
      <c r="I446" s="16">
        <v>1038.46</v>
      </c>
      <c r="J446" s="16">
        <v>4538</v>
      </c>
      <c r="K446" s="16">
        <v>0</v>
      </c>
      <c r="L446" s="16">
        <v>40</v>
      </c>
      <c r="M446" s="16">
        <v>0</v>
      </c>
      <c r="N446" s="16">
        <v>0</v>
      </c>
      <c r="O446" s="16">
        <v>78</v>
      </c>
      <c r="P446" s="16">
        <v>0</v>
      </c>
      <c r="Q446" s="16">
        <v>10</v>
      </c>
      <c r="R446" s="16">
        <v>0</v>
      </c>
      <c r="S446" s="16">
        <v>0</v>
      </c>
      <c r="T446" s="16">
        <v>0</v>
      </c>
      <c r="U446" s="16">
        <v>0</v>
      </c>
      <c r="V446" s="16">
        <v>78</v>
      </c>
      <c r="W446" s="16">
        <v>-330</v>
      </c>
      <c r="X446" s="16">
        <v>0</v>
      </c>
      <c r="Y446" s="16">
        <v>0</v>
      </c>
      <c r="Z446" s="16">
        <v>0</v>
      </c>
      <c r="AA446" s="16">
        <v>0</v>
      </c>
      <c r="AB446" s="16">
        <v>0</v>
      </c>
      <c r="AC446" s="16">
        <v>-26</v>
      </c>
      <c r="AD446" s="16">
        <v>5576</v>
      </c>
      <c r="AE446" s="16">
        <v>5576</v>
      </c>
      <c r="AF446" s="16">
        <v>-497</v>
      </c>
      <c r="AG446" s="16">
        <v>-40</v>
      </c>
      <c r="AH446" s="16">
        <v>0</v>
      </c>
      <c r="AI446" s="16">
        <v>0</v>
      </c>
      <c r="AJ446" s="16">
        <v>0</v>
      </c>
      <c r="AK446" s="16">
        <v>-13</v>
      </c>
      <c r="AL446" s="16">
        <v>0</v>
      </c>
      <c r="AM446" s="16">
        <v>0</v>
      </c>
      <c r="AN446" s="16">
        <v>0</v>
      </c>
      <c r="AO446" s="16">
        <v>-53</v>
      </c>
      <c r="AP446" s="16">
        <v>-444</v>
      </c>
      <c r="AQ446" s="5" t="s">
        <v>159</v>
      </c>
    </row>
    <row r="447" spans="1:43" x14ac:dyDescent="0.3">
      <c r="A447" s="9" t="s">
        <v>915</v>
      </c>
      <c r="B447" s="11" t="s">
        <v>914</v>
      </c>
      <c r="C447" s="16">
        <v>0</v>
      </c>
      <c r="D447" s="16">
        <v>0</v>
      </c>
      <c r="E447" s="16">
        <v>0</v>
      </c>
      <c r="F447" s="16">
        <v>0</v>
      </c>
      <c r="G447" s="16">
        <v>0</v>
      </c>
      <c r="H447" s="16">
        <v>0</v>
      </c>
      <c r="I447" s="16">
        <v>0</v>
      </c>
      <c r="J447" s="16">
        <v>0</v>
      </c>
      <c r="K447" s="16">
        <v>0</v>
      </c>
      <c r="L447" s="16">
        <v>0</v>
      </c>
      <c r="M447" s="16">
        <v>0</v>
      </c>
      <c r="N447" s="16">
        <v>0</v>
      </c>
      <c r="O447" s="16">
        <v>-34</v>
      </c>
      <c r="P447" s="16">
        <v>0</v>
      </c>
      <c r="Q447" s="16">
        <v>-0.5</v>
      </c>
      <c r="R447" s="16">
        <v>0</v>
      </c>
      <c r="S447" s="16">
        <v>0</v>
      </c>
      <c r="T447" s="16">
        <v>0</v>
      </c>
      <c r="U447" s="16">
        <v>0</v>
      </c>
      <c r="V447" s="16">
        <v>-34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0</v>
      </c>
      <c r="AE447" s="16">
        <v>0</v>
      </c>
      <c r="AF447" s="16">
        <v>0</v>
      </c>
      <c r="AG447" s="16">
        <v>0</v>
      </c>
      <c r="AH447" s="16">
        <v>0</v>
      </c>
      <c r="AI447" s="16">
        <v>0</v>
      </c>
      <c r="AJ447" s="16">
        <v>-7711</v>
      </c>
      <c r="AK447" s="16">
        <v>0</v>
      </c>
      <c r="AL447" s="16">
        <v>0</v>
      </c>
      <c r="AM447" s="16">
        <v>-4806</v>
      </c>
      <c r="AN447" s="16">
        <v>0</v>
      </c>
      <c r="AO447" s="16">
        <v>-12517</v>
      </c>
      <c r="AP447" s="16">
        <v>12517</v>
      </c>
      <c r="AQ447" s="5" t="s">
        <v>159</v>
      </c>
    </row>
    <row r="448" spans="1:43" x14ac:dyDescent="0.3">
      <c r="A448" s="9" t="s">
        <v>917</v>
      </c>
      <c r="B448" s="11" t="s">
        <v>916</v>
      </c>
      <c r="C448" s="16">
        <v>0</v>
      </c>
      <c r="D448" s="16">
        <v>0</v>
      </c>
      <c r="E448" s="16">
        <v>0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36</v>
      </c>
      <c r="P448" s="16">
        <v>0</v>
      </c>
      <c r="Q448" s="16">
        <v>1.5</v>
      </c>
      <c r="R448" s="16">
        <v>0</v>
      </c>
      <c r="S448" s="16">
        <v>0</v>
      </c>
      <c r="T448" s="16">
        <v>0</v>
      </c>
      <c r="U448" s="16">
        <v>0</v>
      </c>
      <c r="V448" s="16">
        <v>36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6">
        <v>0</v>
      </c>
      <c r="AF448" s="16">
        <v>0</v>
      </c>
      <c r="AG448" s="16">
        <v>0</v>
      </c>
      <c r="AH448" s="16">
        <v>0</v>
      </c>
      <c r="AI448" s="16">
        <v>0</v>
      </c>
      <c r="AJ448" s="16">
        <v>0</v>
      </c>
      <c r="AK448" s="16">
        <v>0</v>
      </c>
      <c r="AL448" s="16">
        <v>0</v>
      </c>
      <c r="AM448" s="16">
        <v>-3204</v>
      </c>
      <c r="AN448" s="16">
        <v>0</v>
      </c>
      <c r="AO448" s="16">
        <v>-3204</v>
      </c>
      <c r="AP448" s="16">
        <v>3204</v>
      </c>
      <c r="AQ448" s="5" t="s">
        <v>159</v>
      </c>
    </row>
    <row r="449" spans="1:43" x14ac:dyDescent="0.3">
      <c r="A449" s="9" t="s">
        <v>919</v>
      </c>
      <c r="B449" s="11" t="s">
        <v>918</v>
      </c>
      <c r="C449" s="16">
        <v>-336</v>
      </c>
      <c r="D449" s="16">
        <v>-183</v>
      </c>
      <c r="E449" s="16">
        <v>-31</v>
      </c>
      <c r="F449" s="16">
        <v>-42</v>
      </c>
      <c r="G449" s="16">
        <v>-19</v>
      </c>
      <c r="H449" s="16">
        <v>0</v>
      </c>
      <c r="I449" s="16">
        <v>0</v>
      </c>
      <c r="J449" s="16">
        <v>0</v>
      </c>
      <c r="K449" s="16">
        <v>0</v>
      </c>
      <c r="L449" s="16">
        <v>0</v>
      </c>
      <c r="M449" s="16">
        <v>0</v>
      </c>
      <c r="N449" s="16">
        <v>0</v>
      </c>
      <c r="O449" s="16">
        <v>-226</v>
      </c>
      <c r="P449" s="16">
        <v>0</v>
      </c>
      <c r="Q449" s="16">
        <v>-13</v>
      </c>
      <c r="R449" s="16">
        <v>0</v>
      </c>
      <c r="S449" s="16">
        <v>0</v>
      </c>
      <c r="T449" s="16">
        <v>0</v>
      </c>
      <c r="U449" s="16">
        <v>0</v>
      </c>
      <c r="V449" s="16">
        <v>-226</v>
      </c>
      <c r="W449" s="16">
        <v>-428</v>
      </c>
      <c r="X449" s="16">
        <v>0</v>
      </c>
      <c r="Y449" s="16">
        <v>0</v>
      </c>
      <c r="Z449" s="16">
        <v>0</v>
      </c>
      <c r="AA449" s="16">
        <v>0</v>
      </c>
      <c r="AB449" s="16">
        <v>0</v>
      </c>
      <c r="AC449" s="16">
        <v>-280</v>
      </c>
      <c r="AD449" s="16">
        <v>0</v>
      </c>
      <c r="AE449" s="16">
        <v>0</v>
      </c>
      <c r="AF449" s="16">
        <v>-891</v>
      </c>
      <c r="AG449" s="16">
        <v>-51</v>
      </c>
      <c r="AH449" s="16">
        <v>0</v>
      </c>
      <c r="AI449" s="16">
        <v>0</v>
      </c>
      <c r="AJ449" s="16">
        <v>0</v>
      </c>
      <c r="AK449" s="16">
        <v>0</v>
      </c>
      <c r="AL449" s="16">
        <v>0</v>
      </c>
      <c r="AM449" s="16">
        <v>-801</v>
      </c>
      <c r="AN449" s="16">
        <v>0</v>
      </c>
      <c r="AO449" s="16">
        <v>-852</v>
      </c>
      <c r="AP449" s="16">
        <v>-39</v>
      </c>
      <c r="AQ449" s="5" t="s">
        <v>159</v>
      </c>
    </row>
    <row r="450" spans="1:43" x14ac:dyDescent="0.3">
      <c r="A450" s="9" t="s">
        <v>921</v>
      </c>
      <c r="B450" s="11" t="s">
        <v>920</v>
      </c>
      <c r="C450" s="16">
        <v>-359</v>
      </c>
      <c r="D450" s="16">
        <v>-196</v>
      </c>
      <c r="E450" s="16">
        <v>-32</v>
      </c>
      <c r="F450" s="16">
        <v>-46</v>
      </c>
      <c r="G450" s="16">
        <v>-20</v>
      </c>
      <c r="H450" s="16">
        <v>0</v>
      </c>
      <c r="I450" s="16">
        <v>-1615.38</v>
      </c>
      <c r="J450" s="16">
        <v>856</v>
      </c>
      <c r="K450" s="16">
        <v>0</v>
      </c>
      <c r="L450" s="16">
        <v>8</v>
      </c>
      <c r="M450" s="16">
        <v>0</v>
      </c>
      <c r="N450" s="16">
        <v>0</v>
      </c>
      <c r="O450" s="16">
        <v>24</v>
      </c>
      <c r="P450" s="16">
        <v>0</v>
      </c>
      <c r="Q450" s="16">
        <v>5</v>
      </c>
      <c r="R450" s="16">
        <v>0</v>
      </c>
      <c r="S450" s="16">
        <v>0</v>
      </c>
      <c r="T450" s="16">
        <v>0</v>
      </c>
      <c r="U450" s="16">
        <v>0</v>
      </c>
      <c r="V450" s="16">
        <v>24</v>
      </c>
      <c r="W450" s="16">
        <v>-457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-104</v>
      </c>
      <c r="AD450" s="16">
        <v>-759</v>
      </c>
      <c r="AE450" s="16">
        <v>-759</v>
      </c>
      <c r="AF450" s="16">
        <v>-757</v>
      </c>
      <c r="AG450" s="16">
        <v>-55</v>
      </c>
      <c r="AH450" s="16">
        <v>0</v>
      </c>
      <c r="AI450" s="16">
        <v>0</v>
      </c>
      <c r="AJ450" s="16">
        <v>0</v>
      </c>
      <c r="AK450" s="16">
        <v>-19</v>
      </c>
      <c r="AL450" s="16">
        <v>0</v>
      </c>
      <c r="AM450" s="16">
        <v>-2403</v>
      </c>
      <c r="AN450" s="16">
        <v>0</v>
      </c>
      <c r="AO450" s="16">
        <v>-2477</v>
      </c>
      <c r="AP450" s="16">
        <v>1720</v>
      </c>
      <c r="AQ450" s="5" t="s">
        <v>159</v>
      </c>
    </row>
    <row r="451" spans="1:43" x14ac:dyDescent="0.3">
      <c r="A451" s="9" t="s">
        <v>923</v>
      </c>
      <c r="B451" s="11" t="s">
        <v>922</v>
      </c>
      <c r="C451" s="16">
        <v>0</v>
      </c>
      <c r="D451" s="16">
        <v>0</v>
      </c>
      <c r="E451" s="16">
        <v>0</v>
      </c>
      <c r="F451" s="16">
        <v>0</v>
      </c>
      <c r="G451" s="16">
        <v>0</v>
      </c>
      <c r="H451" s="16">
        <v>0</v>
      </c>
      <c r="I451" s="16">
        <v>-230.69</v>
      </c>
      <c r="J451" s="16">
        <v>2221</v>
      </c>
      <c r="K451" s="16">
        <v>0</v>
      </c>
      <c r="L451" s="16">
        <v>28</v>
      </c>
      <c r="M451" s="16">
        <v>0</v>
      </c>
      <c r="N451" s="16">
        <v>0</v>
      </c>
      <c r="O451" s="16">
        <v>68</v>
      </c>
      <c r="P451" s="16">
        <v>500</v>
      </c>
      <c r="Q451" s="16">
        <v>9</v>
      </c>
      <c r="R451" s="16">
        <v>0</v>
      </c>
      <c r="S451" s="16">
        <v>0</v>
      </c>
      <c r="T451" s="16">
        <v>0</v>
      </c>
      <c r="U451" s="16">
        <v>0</v>
      </c>
      <c r="V451" s="16">
        <v>68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2490</v>
      </c>
      <c r="AE451" s="16">
        <v>2490</v>
      </c>
      <c r="AF451" s="16">
        <v>0</v>
      </c>
      <c r="AG451" s="16">
        <v>0</v>
      </c>
      <c r="AH451" s="16">
        <v>0</v>
      </c>
      <c r="AI451" s="16">
        <v>0</v>
      </c>
      <c r="AJ451" s="16">
        <v>0</v>
      </c>
      <c r="AK451" s="16">
        <v>0</v>
      </c>
      <c r="AL451" s="16">
        <v>0</v>
      </c>
      <c r="AM451" s="16">
        <v>0</v>
      </c>
      <c r="AN451" s="16">
        <v>0</v>
      </c>
      <c r="AO451" s="16">
        <v>0</v>
      </c>
      <c r="AP451" s="16">
        <v>0</v>
      </c>
      <c r="AQ451" s="5" t="s">
        <v>159</v>
      </c>
    </row>
    <row r="452" spans="1:43" x14ac:dyDescent="0.3">
      <c r="A452" s="9" t="s">
        <v>925</v>
      </c>
      <c r="B452" s="11" t="s">
        <v>924</v>
      </c>
      <c r="C452" s="16">
        <v>0</v>
      </c>
      <c r="D452" s="16">
        <v>0</v>
      </c>
      <c r="E452" s="16">
        <v>0</v>
      </c>
      <c r="F452" s="16">
        <v>0</v>
      </c>
      <c r="G452" s="16">
        <v>0</v>
      </c>
      <c r="H452" s="16">
        <v>0</v>
      </c>
      <c r="I452" s="16">
        <v>0</v>
      </c>
      <c r="J452" s="16">
        <v>2966</v>
      </c>
      <c r="K452" s="16">
        <v>0</v>
      </c>
      <c r="L452" s="16">
        <v>27</v>
      </c>
      <c r="M452" s="16">
        <v>0</v>
      </c>
      <c r="N452" s="16">
        <v>0</v>
      </c>
      <c r="O452" s="16">
        <v>-449</v>
      </c>
      <c r="P452" s="16">
        <v>500</v>
      </c>
      <c r="Q452" s="16">
        <v>-32.5</v>
      </c>
      <c r="R452" s="16">
        <v>0</v>
      </c>
      <c r="S452" s="16">
        <v>0</v>
      </c>
      <c r="T452" s="16">
        <v>0</v>
      </c>
      <c r="U452" s="16">
        <v>0</v>
      </c>
      <c r="V452" s="16">
        <v>-449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  <c r="AC452" s="16">
        <v>0</v>
      </c>
      <c r="AD452" s="16">
        <v>3466</v>
      </c>
      <c r="AE452" s="16">
        <v>3466</v>
      </c>
      <c r="AF452" s="16">
        <v>0</v>
      </c>
      <c r="AG452" s="16">
        <v>0</v>
      </c>
      <c r="AH452" s="16">
        <v>0</v>
      </c>
      <c r="AI452" s="16">
        <v>0</v>
      </c>
      <c r="AJ452" s="16">
        <v>0</v>
      </c>
      <c r="AK452" s="16">
        <v>0</v>
      </c>
      <c r="AL452" s="16">
        <v>0</v>
      </c>
      <c r="AM452" s="16">
        <v>-1602</v>
      </c>
      <c r="AN452" s="16">
        <v>0</v>
      </c>
      <c r="AO452" s="16">
        <v>-1602</v>
      </c>
      <c r="AP452" s="16">
        <v>1602</v>
      </c>
      <c r="AQ452" s="5" t="s">
        <v>159</v>
      </c>
    </row>
    <row r="453" spans="1:43" x14ac:dyDescent="0.3">
      <c r="A453" s="9" t="s">
        <v>927</v>
      </c>
      <c r="B453" s="11" t="s">
        <v>926</v>
      </c>
      <c r="C453" s="16">
        <v>462</v>
      </c>
      <c r="D453" s="16">
        <v>252</v>
      </c>
      <c r="E453" s="16">
        <v>42</v>
      </c>
      <c r="F453" s="16">
        <v>59</v>
      </c>
      <c r="G453" s="16">
        <v>25</v>
      </c>
      <c r="H453" s="16">
        <v>0</v>
      </c>
      <c r="I453" s="16">
        <v>-307.31</v>
      </c>
      <c r="J453" s="16">
        <v>-2722</v>
      </c>
      <c r="K453" s="16">
        <v>0</v>
      </c>
      <c r="L453" s="16">
        <v>-24</v>
      </c>
      <c r="M453" s="16">
        <v>0</v>
      </c>
      <c r="N453" s="16">
        <v>0</v>
      </c>
      <c r="O453" s="16">
        <v>123</v>
      </c>
      <c r="P453" s="16">
        <v>0</v>
      </c>
      <c r="Q453" s="16">
        <v>5.75</v>
      </c>
      <c r="R453" s="16">
        <v>0</v>
      </c>
      <c r="S453" s="16">
        <v>0</v>
      </c>
      <c r="T453" s="16">
        <v>0</v>
      </c>
      <c r="U453" s="16">
        <v>0</v>
      </c>
      <c r="V453" s="16">
        <v>123</v>
      </c>
      <c r="W453" s="16">
        <v>588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  <c r="AC453" s="16">
        <v>241</v>
      </c>
      <c r="AD453" s="16">
        <v>-3029</v>
      </c>
      <c r="AE453" s="16">
        <v>-3029</v>
      </c>
      <c r="AF453" s="16">
        <v>1081</v>
      </c>
      <c r="AG453" s="16">
        <v>71</v>
      </c>
      <c r="AH453" s="16">
        <v>0</v>
      </c>
      <c r="AI453" s="16">
        <v>0</v>
      </c>
      <c r="AJ453" s="16">
        <v>0</v>
      </c>
      <c r="AK453" s="16">
        <v>24</v>
      </c>
      <c r="AL453" s="16">
        <v>0</v>
      </c>
      <c r="AM453" s="16">
        <v>0</v>
      </c>
      <c r="AN453" s="16">
        <v>0</v>
      </c>
      <c r="AO453" s="16">
        <v>95</v>
      </c>
      <c r="AP453" s="16">
        <v>986</v>
      </c>
      <c r="AQ453" s="5" t="s">
        <v>159</v>
      </c>
    </row>
    <row r="454" spans="1:43" x14ac:dyDescent="0.3">
      <c r="A454" s="9" t="s">
        <v>929</v>
      </c>
      <c r="B454" s="11" t="s">
        <v>928</v>
      </c>
      <c r="C454" s="16">
        <v>5934</v>
      </c>
      <c r="D454" s="16">
        <v>3237</v>
      </c>
      <c r="E454" s="16">
        <v>540</v>
      </c>
      <c r="F454" s="16">
        <v>756</v>
      </c>
      <c r="G454" s="16">
        <v>324</v>
      </c>
      <c r="H454" s="16">
        <v>0</v>
      </c>
      <c r="I454" s="16">
        <v>1038</v>
      </c>
      <c r="J454" s="16">
        <v>3627</v>
      </c>
      <c r="K454" s="16">
        <v>0</v>
      </c>
      <c r="L454" s="16">
        <v>32</v>
      </c>
      <c r="M454" s="16">
        <v>0</v>
      </c>
      <c r="N454" s="16">
        <v>0</v>
      </c>
      <c r="O454" s="16">
        <v>787</v>
      </c>
      <c r="P454" s="16">
        <v>0</v>
      </c>
      <c r="Q454" s="16">
        <v>10</v>
      </c>
      <c r="R454" s="16">
        <v>0</v>
      </c>
      <c r="S454" s="16">
        <v>0</v>
      </c>
      <c r="T454" s="16">
        <v>0</v>
      </c>
      <c r="U454" s="16">
        <v>0</v>
      </c>
      <c r="V454" s="16">
        <v>787</v>
      </c>
      <c r="W454" s="16">
        <v>7554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  <c r="AC454" s="16">
        <v>4315</v>
      </c>
      <c r="AD454" s="16">
        <v>4665</v>
      </c>
      <c r="AE454" s="16">
        <v>4665</v>
      </c>
      <c r="AF454" s="16">
        <v>15106</v>
      </c>
      <c r="AG454" s="16">
        <v>906</v>
      </c>
      <c r="AH454" s="16">
        <v>0</v>
      </c>
      <c r="AI454" s="16">
        <v>0</v>
      </c>
      <c r="AJ454" s="16">
        <v>0</v>
      </c>
      <c r="AK454" s="16">
        <v>302</v>
      </c>
      <c r="AL454" s="16">
        <v>0</v>
      </c>
      <c r="AM454" s="16">
        <v>0</v>
      </c>
      <c r="AN454" s="16">
        <v>0</v>
      </c>
      <c r="AO454" s="16">
        <v>1208</v>
      </c>
      <c r="AP454" s="16">
        <v>13898</v>
      </c>
      <c r="AQ454" s="5" t="s">
        <v>159</v>
      </c>
    </row>
    <row r="455" spans="1:43" x14ac:dyDescent="0.3">
      <c r="A455" s="9" t="s">
        <v>931</v>
      </c>
      <c r="B455" s="11" t="s">
        <v>930</v>
      </c>
      <c r="C455" s="16">
        <v>0</v>
      </c>
      <c r="D455" s="16">
        <v>0</v>
      </c>
      <c r="E455" s="16">
        <v>0</v>
      </c>
      <c r="F455" s="16">
        <v>0</v>
      </c>
      <c r="G455" s="16">
        <v>0</v>
      </c>
      <c r="H455" s="16">
        <v>0</v>
      </c>
      <c r="I455" s="16">
        <v>0</v>
      </c>
      <c r="J455" s="16">
        <v>1066</v>
      </c>
      <c r="K455" s="16">
        <v>0</v>
      </c>
      <c r="L455" s="16">
        <v>8</v>
      </c>
      <c r="M455" s="16">
        <v>0</v>
      </c>
      <c r="N455" s="16">
        <v>0</v>
      </c>
      <c r="O455" s="16">
        <v>188</v>
      </c>
      <c r="P455" s="16">
        <v>0</v>
      </c>
      <c r="Q455" s="16">
        <v>10</v>
      </c>
      <c r="R455" s="16">
        <v>0</v>
      </c>
      <c r="S455" s="16">
        <v>0</v>
      </c>
      <c r="T455" s="16">
        <v>0</v>
      </c>
      <c r="U455" s="16">
        <v>0</v>
      </c>
      <c r="V455" s="16">
        <v>188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1066</v>
      </c>
      <c r="AE455" s="16">
        <v>1066</v>
      </c>
      <c r="AF455" s="16">
        <v>0</v>
      </c>
      <c r="AG455" s="16">
        <v>0</v>
      </c>
      <c r="AH455" s="16">
        <v>0</v>
      </c>
      <c r="AI455" s="16">
        <v>0</v>
      </c>
      <c r="AJ455" s="16">
        <v>0</v>
      </c>
      <c r="AK455" s="16">
        <v>0</v>
      </c>
      <c r="AL455" s="16">
        <v>0</v>
      </c>
      <c r="AM455" s="16">
        <v>-1602</v>
      </c>
      <c r="AN455" s="16">
        <v>0</v>
      </c>
      <c r="AO455" s="16">
        <v>-1602</v>
      </c>
      <c r="AP455" s="16">
        <v>1602</v>
      </c>
      <c r="AQ455" s="5" t="s">
        <v>159</v>
      </c>
    </row>
    <row r="456" spans="1:43" x14ac:dyDescent="0.3">
      <c r="A456" s="9" t="s">
        <v>933</v>
      </c>
      <c r="B456" s="11" t="s">
        <v>932</v>
      </c>
      <c r="C456" s="16">
        <v>-191</v>
      </c>
      <c r="D456" s="16">
        <v>-104</v>
      </c>
      <c r="E456" s="16">
        <v>-18</v>
      </c>
      <c r="F456" s="16">
        <v>-25</v>
      </c>
      <c r="G456" s="16">
        <v>-11</v>
      </c>
      <c r="H456" s="16">
        <v>0</v>
      </c>
      <c r="I456" s="16">
        <v>0</v>
      </c>
      <c r="J456" s="16">
        <v>908</v>
      </c>
      <c r="K456" s="16">
        <v>0</v>
      </c>
      <c r="L456" s="16">
        <v>8</v>
      </c>
      <c r="M456" s="16">
        <v>0</v>
      </c>
      <c r="N456" s="16">
        <v>0</v>
      </c>
      <c r="O456" s="16">
        <v>138</v>
      </c>
      <c r="P456" s="16">
        <v>0</v>
      </c>
      <c r="Q456" s="16">
        <v>10</v>
      </c>
      <c r="R456" s="16">
        <v>0</v>
      </c>
      <c r="S456" s="16">
        <v>0</v>
      </c>
      <c r="T456" s="16">
        <v>0</v>
      </c>
      <c r="U456" s="16">
        <v>0</v>
      </c>
      <c r="V456" s="16">
        <v>138</v>
      </c>
      <c r="W456" s="16">
        <v>-228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  <c r="AC456" s="16">
        <v>-173</v>
      </c>
      <c r="AD456" s="16">
        <v>908</v>
      </c>
      <c r="AE456" s="16">
        <v>908</v>
      </c>
      <c r="AF456" s="16">
        <v>-522</v>
      </c>
      <c r="AG456" s="16">
        <v>-27</v>
      </c>
      <c r="AH456" s="16">
        <v>0</v>
      </c>
      <c r="AI456" s="16">
        <v>0</v>
      </c>
      <c r="AJ456" s="16">
        <v>0</v>
      </c>
      <c r="AK456" s="16">
        <v>-10</v>
      </c>
      <c r="AL456" s="16">
        <v>0</v>
      </c>
      <c r="AM456" s="16">
        <v>0</v>
      </c>
      <c r="AN456" s="16">
        <v>0</v>
      </c>
      <c r="AO456" s="16">
        <v>-37</v>
      </c>
      <c r="AP456" s="16">
        <v>-485</v>
      </c>
      <c r="AQ456" s="5" t="s">
        <v>159</v>
      </c>
    </row>
    <row r="457" spans="1:43" x14ac:dyDescent="0.3">
      <c r="A457" s="9" t="s">
        <v>935</v>
      </c>
      <c r="B457" s="11" t="s">
        <v>934</v>
      </c>
      <c r="C457" s="16">
        <v>0</v>
      </c>
      <c r="D457" s="16">
        <v>0</v>
      </c>
      <c r="E457" s="16">
        <v>0</v>
      </c>
      <c r="F457" s="16">
        <v>0</v>
      </c>
      <c r="G457" s="16">
        <v>0</v>
      </c>
      <c r="H457" s="16">
        <v>1000</v>
      </c>
      <c r="I457" s="16">
        <v>0</v>
      </c>
      <c r="J457" s="16">
        <v>4379</v>
      </c>
      <c r="K457" s="16">
        <v>0</v>
      </c>
      <c r="L457" s="16">
        <v>40</v>
      </c>
      <c r="M457" s="16">
        <v>0</v>
      </c>
      <c r="N457" s="16">
        <v>0</v>
      </c>
      <c r="O457" s="16">
        <v>63</v>
      </c>
      <c r="P457" s="16">
        <v>500</v>
      </c>
      <c r="Q457" s="16">
        <v>5</v>
      </c>
      <c r="R457" s="16">
        <v>0</v>
      </c>
      <c r="S457" s="16">
        <v>0</v>
      </c>
      <c r="T457" s="16">
        <v>0</v>
      </c>
      <c r="U457" s="16">
        <v>0</v>
      </c>
      <c r="V457" s="16">
        <v>63</v>
      </c>
      <c r="W457" s="16">
        <v>0</v>
      </c>
      <c r="X457" s="16">
        <v>500</v>
      </c>
      <c r="Y457" s="16">
        <v>3.75</v>
      </c>
      <c r="Z457" s="16">
        <v>16.25</v>
      </c>
      <c r="AA457" s="16">
        <v>483.75</v>
      </c>
      <c r="AB457" s="16">
        <v>0</v>
      </c>
      <c r="AC457" s="16">
        <v>0</v>
      </c>
      <c r="AD457" s="16">
        <v>5879</v>
      </c>
      <c r="AE457" s="16">
        <v>5879</v>
      </c>
      <c r="AF457" s="16">
        <v>0</v>
      </c>
      <c r="AG457" s="16">
        <v>0</v>
      </c>
      <c r="AH457" s="16">
        <v>0</v>
      </c>
      <c r="AI457" s="16">
        <v>0</v>
      </c>
      <c r="AJ457" s="16">
        <v>0</v>
      </c>
      <c r="AK457" s="16">
        <v>0</v>
      </c>
      <c r="AL457" s="16">
        <v>0</v>
      </c>
      <c r="AM457" s="16">
        <v>-2403</v>
      </c>
      <c r="AN457" s="16">
        <v>0</v>
      </c>
      <c r="AO457" s="16">
        <v>-2403</v>
      </c>
      <c r="AP457" s="16">
        <v>2403</v>
      </c>
      <c r="AQ457" s="5" t="s">
        <v>159</v>
      </c>
    </row>
    <row r="458" spans="1:43" x14ac:dyDescent="0.3">
      <c r="A458" s="9" t="s">
        <v>937</v>
      </c>
      <c r="B458" s="11" t="s">
        <v>936</v>
      </c>
      <c r="C458" s="16">
        <v>-6330</v>
      </c>
      <c r="D458" s="16">
        <v>-3453</v>
      </c>
      <c r="E458" s="16">
        <v>-575</v>
      </c>
      <c r="F458" s="16">
        <v>-806</v>
      </c>
      <c r="G458" s="16">
        <v>-345</v>
      </c>
      <c r="H458" s="16">
        <v>0</v>
      </c>
      <c r="I458" s="16">
        <v>0</v>
      </c>
      <c r="J458" s="16">
        <v>-2538</v>
      </c>
      <c r="K458" s="16">
        <v>0</v>
      </c>
      <c r="L458" s="16">
        <v>-16</v>
      </c>
      <c r="M458" s="16">
        <v>0</v>
      </c>
      <c r="N458" s="16">
        <v>0</v>
      </c>
      <c r="O458" s="16">
        <v>-478</v>
      </c>
      <c r="P458" s="16">
        <v>0</v>
      </c>
      <c r="Q458" s="16">
        <v>7.5</v>
      </c>
      <c r="R458" s="16">
        <v>0</v>
      </c>
      <c r="S458" s="16">
        <v>0</v>
      </c>
      <c r="T458" s="16">
        <v>0</v>
      </c>
      <c r="U458" s="16">
        <v>0</v>
      </c>
      <c r="V458" s="16">
        <v>-478</v>
      </c>
      <c r="W458" s="16">
        <v>-2806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  <c r="AC458" s="16">
        <v>-1036</v>
      </c>
      <c r="AD458" s="16">
        <v>-2538</v>
      </c>
      <c r="AE458" s="16">
        <v>-2538</v>
      </c>
      <c r="AF458" s="16">
        <v>-12545</v>
      </c>
      <c r="AG458" s="16">
        <v>-337</v>
      </c>
      <c r="AH458" s="16">
        <v>0</v>
      </c>
      <c r="AI458" s="16">
        <v>0</v>
      </c>
      <c r="AJ458" s="16">
        <v>0</v>
      </c>
      <c r="AK458" s="16">
        <v>-231</v>
      </c>
      <c r="AL458" s="16">
        <v>0</v>
      </c>
      <c r="AM458" s="16">
        <v>0</v>
      </c>
      <c r="AN458" s="16">
        <v>0</v>
      </c>
      <c r="AO458" s="16">
        <v>-568</v>
      </c>
      <c r="AP458" s="16">
        <v>-11977</v>
      </c>
      <c r="AQ458" s="5" t="s">
        <v>159</v>
      </c>
    </row>
    <row r="459" spans="1:43" x14ac:dyDescent="0.3">
      <c r="A459" s="9" t="s">
        <v>939</v>
      </c>
      <c r="B459" s="11" t="s">
        <v>938</v>
      </c>
      <c r="C459" s="16">
        <v>0</v>
      </c>
      <c r="D459" s="16">
        <v>0</v>
      </c>
      <c r="E459" s="16">
        <v>0</v>
      </c>
      <c r="F459" s="16">
        <v>0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N459" s="16">
        <v>0</v>
      </c>
      <c r="O459" s="16">
        <v>-16</v>
      </c>
      <c r="P459" s="16">
        <v>0</v>
      </c>
      <c r="Q459" s="16">
        <v>-1</v>
      </c>
      <c r="R459" s="16">
        <v>0</v>
      </c>
      <c r="S459" s="16">
        <v>0</v>
      </c>
      <c r="T459" s="16">
        <v>0</v>
      </c>
      <c r="U459" s="16">
        <v>0</v>
      </c>
      <c r="V459" s="16">
        <v>-16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16">
        <v>-1602</v>
      </c>
      <c r="AN459" s="16">
        <v>0</v>
      </c>
      <c r="AO459" s="16">
        <v>-1602</v>
      </c>
      <c r="AP459" s="16">
        <v>1602</v>
      </c>
      <c r="AQ459" s="5" t="s">
        <v>159</v>
      </c>
    </row>
    <row r="460" spans="1:43" x14ac:dyDescent="0.3">
      <c r="A460" s="9" t="s">
        <v>941</v>
      </c>
      <c r="B460" s="11" t="s">
        <v>940</v>
      </c>
      <c r="C460" s="16">
        <v>0</v>
      </c>
      <c r="D460" s="16">
        <v>0</v>
      </c>
      <c r="E460" s="16">
        <v>0</v>
      </c>
      <c r="F460" s="16">
        <v>0</v>
      </c>
      <c r="G460" s="16">
        <v>0</v>
      </c>
      <c r="H460" s="16">
        <v>0</v>
      </c>
      <c r="I460" s="16">
        <v>0</v>
      </c>
      <c r="J460" s="16">
        <v>0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16">
        <v>-2403</v>
      </c>
      <c r="AN460" s="16">
        <v>0</v>
      </c>
      <c r="AO460" s="16">
        <v>-2403</v>
      </c>
      <c r="AP460" s="16">
        <v>2403</v>
      </c>
      <c r="AQ460" s="5" t="s">
        <v>159</v>
      </c>
    </row>
    <row r="461" spans="1:43" x14ac:dyDescent="0.3">
      <c r="A461" s="9" t="s">
        <v>943</v>
      </c>
      <c r="B461" s="11" t="s">
        <v>942</v>
      </c>
      <c r="C461" s="16">
        <v>831</v>
      </c>
      <c r="D461" s="16">
        <v>453</v>
      </c>
      <c r="E461" s="16">
        <v>76</v>
      </c>
      <c r="F461" s="16">
        <v>106</v>
      </c>
      <c r="G461" s="16">
        <v>46</v>
      </c>
      <c r="H461" s="16">
        <v>0</v>
      </c>
      <c r="I461" s="16">
        <v>682.92</v>
      </c>
      <c r="J461" s="16">
        <v>1790</v>
      </c>
      <c r="K461" s="16">
        <v>0</v>
      </c>
      <c r="L461" s="16">
        <v>16</v>
      </c>
      <c r="M461" s="16">
        <v>0</v>
      </c>
      <c r="N461" s="16">
        <v>0</v>
      </c>
      <c r="O461" s="16">
        <v>-125</v>
      </c>
      <c r="P461" s="16">
        <v>0</v>
      </c>
      <c r="Q461" s="16">
        <v>-15</v>
      </c>
      <c r="R461" s="16">
        <v>0</v>
      </c>
      <c r="S461" s="16">
        <v>0</v>
      </c>
      <c r="T461" s="16">
        <v>0</v>
      </c>
      <c r="U461" s="16">
        <v>0</v>
      </c>
      <c r="V461" s="16">
        <v>-125</v>
      </c>
      <c r="W461" s="16">
        <v>1059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385</v>
      </c>
      <c r="AD461" s="16">
        <v>2473</v>
      </c>
      <c r="AE461" s="16">
        <v>2473</v>
      </c>
      <c r="AF461" s="16">
        <v>1897</v>
      </c>
      <c r="AG461" s="16">
        <v>127</v>
      </c>
      <c r="AH461" s="16">
        <v>0</v>
      </c>
      <c r="AI461" s="16">
        <v>0</v>
      </c>
      <c r="AJ461" s="16">
        <v>0</v>
      </c>
      <c r="AK461" s="16">
        <v>43</v>
      </c>
      <c r="AL461" s="16">
        <v>0</v>
      </c>
      <c r="AM461" s="16">
        <v>-801</v>
      </c>
      <c r="AN461" s="16">
        <v>0</v>
      </c>
      <c r="AO461" s="16">
        <v>-631</v>
      </c>
      <c r="AP461" s="16">
        <v>2528</v>
      </c>
      <c r="AQ461" s="5" t="s">
        <v>159</v>
      </c>
    </row>
    <row r="462" spans="1:43" x14ac:dyDescent="0.3">
      <c r="A462" s="9" t="s">
        <v>945</v>
      </c>
      <c r="B462" s="11" t="s">
        <v>944</v>
      </c>
      <c r="C462" s="16">
        <v>0</v>
      </c>
      <c r="D462" s="16">
        <v>0</v>
      </c>
      <c r="E462" s="16">
        <v>0</v>
      </c>
      <c r="F462" s="16">
        <v>0</v>
      </c>
      <c r="G462" s="16">
        <v>0</v>
      </c>
      <c r="H462" s="16">
        <v>0</v>
      </c>
      <c r="I462" s="16">
        <v>0</v>
      </c>
      <c r="J462" s="16">
        <v>2696</v>
      </c>
      <c r="K462" s="16">
        <v>0</v>
      </c>
      <c r="L462" s="16">
        <v>32</v>
      </c>
      <c r="M462" s="16">
        <v>0</v>
      </c>
      <c r="N462" s="16">
        <v>0</v>
      </c>
      <c r="O462" s="16">
        <v>52</v>
      </c>
      <c r="P462" s="16">
        <v>0</v>
      </c>
      <c r="Q462" s="16">
        <v>5</v>
      </c>
      <c r="R462" s="16">
        <v>20</v>
      </c>
      <c r="S462" s="16">
        <v>88</v>
      </c>
      <c r="T462" s="16">
        <v>0</v>
      </c>
      <c r="U462" s="16">
        <v>2</v>
      </c>
      <c r="V462" s="16">
        <v>52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0</v>
      </c>
      <c r="AD462" s="16">
        <v>2696</v>
      </c>
      <c r="AE462" s="16">
        <v>2676</v>
      </c>
      <c r="AF462" s="16">
        <v>0</v>
      </c>
      <c r="AG462" s="16">
        <v>0</v>
      </c>
      <c r="AH462" s="16">
        <v>0</v>
      </c>
      <c r="AI462" s="16">
        <v>0</v>
      </c>
      <c r="AJ462" s="16">
        <v>0</v>
      </c>
      <c r="AK462" s="16">
        <v>0</v>
      </c>
      <c r="AL462" s="16">
        <v>0</v>
      </c>
      <c r="AM462" s="16">
        <v>0</v>
      </c>
      <c r="AN462" s="16">
        <v>0</v>
      </c>
      <c r="AO462" s="16">
        <v>0</v>
      </c>
      <c r="AP462" s="16">
        <v>0</v>
      </c>
      <c r="AQ462" s="5" t="s">
        <v>159</v>
      </c>
    </row>
    <row r="463" spans="1:43" x14ac:dyDescent="0.3">
      <c r="A463" s="9" t="s">
        <v>947</v>
      </c>
      <c r="B463" s="11" t="s">
        <v>946</v>
      </c>
      <c r="C463" s="16">
        <v>413</v>
      </c>
      <c r="D463" s="16">
        <v>225</v>
      </c>
      <c r="E463" s="16">
        <v>37</v>
      </c>
      <c r="F463" s="16">
        <v>52</v>
      </c>
      <c r="G463" s="16">
        <v>22</v>
      </c>
      <c r="H463" s="16">
        <v>0</v>
      </c>
      <c r="I463" s="16">
        <v>730.92</v>
      </c>
      <c r="J463" s="16">
        <v>4460</v>
      </c>
      <c r="K463" s="16">
        <v>0</v>
      </c>
      <c r="L463" s="16">
        <v>44</v>
      </c>
      <c r="M463" s="16">
        <v>0</v>
      </c>
      <c r="N463" s="16">
        <v>0</v>
      </c>
      <c r="O463" s="16">
        <v>-141</v>
      </c>
      <c r="P463" s="16">
        <v>0</v>
      </c>
      <c r="Q463" s="16">
        <v>-16</v>
      </c>
      <c r="R463" s="16">
        <v>0</v>
      </c>
      <c r="S463" s="16">
        <v>0</v>
      </c>
      <c r="T463" s="16">
        <v>0</v>
      </c>
      <c r="U463" s="16">
        <v>0</v>
      </c>
      <c r="V463" s="16">
        <v>-141</v>
      </c>
      <c r="W463" s="16">
        <v>524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  <c r="AC463" s="16">
        <v>112</v>
      </c>
      <c r="AD463" s="16">
        <v>5191</v>
      </c>
      <c r="AE463" s="16">
        <v>5191</v>
      </c>
      <c r="AF463" s="16">
        <v>861</v>
      </c>
      <c r="AG463" s="16">
        <v>63</v>
      </c>
      <c r="AH463" s="16">
        <v>0</v>
      </c>
      <c r="AI463" s="16">
        <v>0</v>
      </c>
      <c r="AJ463" s="16">
        <v>0</v>
      </c>
      <c r="AK463" s="16">
        <v>0</v>
      </c>
      <c r="AL463" s="16">
        <v>0</v>
      </c>
      <c r="AM463" s="16">
        <v>-801</v>
      </c>
      <c r="AN463" s="16">
        <v>0</v>
      </c>
      <c r="AO463" s="16">
        <v>-738</v>
      </c>
      <c r="AP463" s="16">
        <v>1599</v>
      </c>
      <c r="AQ463" s="5" t="s">
        <v>159</v>
      </c>
    </row>
    <row r="464" spans="1:43" x14ac:dyDescent="0.3">
      <c r="A464" s="9" t="s">
        <v>949</v>
      </c>
      <c r="B464" s="11" t="s">
        <v>948</v>
      </c>
      <c r="C464" s="16">
        <v>-1677</v>
      </c>
      <c r="D464" s="16">
        <v>-915</v>
      </c>
      <c r="E464" s="16">
        <v>-152</v>
      </c>
      <c r="F464" s="16">
        <v>-213</v>
      </c>
      <c r="G464" s="16">
        <v>-91</v>
      </c>
      <c r="H464" s="16">
        <v>0</v>
      </c>
      <c r="I464" s="16">
        <v>577</v>
      </c>
      <c r="J464" s="16">
        <v>-5331</v>
      </c>
      <c r="K464" s="16">
        <v>0</v>
      </c>
      <c r="L464" s="16">
        <v>-32</v>
      </c>
      <c r="M464" s="16">
        <v>0</v>
      </c>
      <c r="N464" s="16">
        <v>0</v>
      </c>
      <c r="O464" s="16">
        <v>-296</v>
      </c>
      <c r="P464" s="16">
        <v>0</v>
      </c>
      <c r="Q464" s="16">
        <v>-10</v>
      </c>
      <c r="R464" s="16">
        <v>0</v>
      </c>
      <c r="S464" s="16">
        <v>0</v>
      </c>
      <c r="T464" s="16">
        <v>0</v>
      </c>
      <c r="U464" s="16">
        <v>0</v>
      </c>
      <c r="V464" s="16">
        <v>-296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  <c r="AC464" s="16">
        <v>-195</v>
      </c>
      <c r="AD464" s="16">
        <v>-4754</v>
      </c>
      <c r="AE464" s="16">
        <v>-4754</v>
      </c>
      <c r="AF464" s="16">
        <v>-3243</v>
      </c>
      <c r="AG464" s="16">
        <v>0</v>
      </c>
      <c r="AH464" s="16">
        <v>0</v>
      </c>
      <c r="AI464" s="16">
        <v>0</v>
      </c>
      <c r="AJ464" s="16">
        <v>0</v>
      </c>
      <c r="AK464" s="16">
        <v>-58</v>
      </c>
      <c r="AL464" s="16">
        <v>0</v>
      </c>
      <c r="AM464" s="16">
        <v>-2403</v>
      </c>
      <c r="AN464" s="16">
        <v>0</v>
      </c>
      <c r="AO464" s="16">
        <v>-2461</v>
      </c>
      <c r="AP464" s="16">
        <v>-782</v>
      </c>
      <c r="AQ464" s="5" t="s">
        <v>159</v>
      </c>
    </row>
    <row r="465" spans="1:43" x14ac:dyDescent="0.3">
      <c r="A465" s="9" t="s">
        <v>951</v>
      </c>
      <c r="B465" s="11" t="s">
        <v>950</v>
      </c>
      <c r="C465" s="16">
        <v>-417</v>
      </c>
      <c r="D465" s="16">
        <v>-227</v>
      </c>
      <c r="E465" s="16">
        <v>-38</v>
      </c>
      <c r="F465" s="16">
        <v>-53</v>
      </c>
      <c r="G465" s="16">
        <v>-23</v>
      </c>
      <c r="H465" s="16">
        <v>0</v>
      </c>
      <c r="I465" s="16">
        <v>0</v>
      </c>
      <c r="J465" s="16">
        <v>0</v>
      </c>
      <c r="K465" s="16">
        <v>0</v>
      </c>
      <c r="L465" s="16">
        <v>0</v>
      </c>
      <c r="M465" s="16">
        <v>0</v>
      </c>
      <c r="N465" s="16">
        <v>0</v>
      </c>
      <c r="O465" s="16">
        <v>-75</v>
      </c>
      <c r="P465" s="16">
        <v>0</v>
      </c>
      <c r="Q465" s="16">
        <v>-0.5</v>
      </c>
      <c r="R465" s="16">
        <v>0</v>
      </c>
      <c r="S465" s="16">
        <v>0</v>
      </c>
      <c r="T465" s="16">
        <v>0</v>
      </c>
      <c r="U465" s="16">
        <v>0</v>
      </c>
      <c r="V465" s="16">
        <v>-75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-571</v>
      </c>
      <c r="AD465" s="16">
        <v>0</v>
      </c>
      <c r="AE465" s="16">
        <v>0</v>
      </c>
      <c r="AF465" s="16">
        <v>-1329</v>
      </c>
      <c r="AG465" s="16">
        <v>0</v>
      </c>
      <c r="AH465" s="16">
        <v>0</v>
      </c>
      <c r="AI465" s="16">
        <v>0</v>
      </c>
      <c r="AJ465" s="16">
        <v>0</v>
      </c>
      <c r="AK465" s="16">
        <v>-19</v>
      </c>
      <c r="AL465" s="16">
        <v>0</v>
      </c>
      <c r="AM465" s="16">
        <v>-1602</v>
      </c>
      <c r="AN465" s="16">
        <v>0</v>
      </c>
      <c r="AO465" s="16">
        <v>-1621</v>
      </c>
      <c r="AP465" s="16">
        <v>292</v>
      </c>
      <c r="AQ465" s="5" t="s">
        <v>159</v>
      </c>
    </row>
    <row r="466" spans="1:43" x14ac:dyDescent="0.3">
      <c r="A466" s="9" t="s">
        <v>953</v>
      </c>
      <c r="B466" s="11" t="s">
        <v>952</v>
      </c>
      <c r="C466" s="16">
        <v>1686</v>
      </c>
      <c r="D466" s="16">
        <v>919</v>
      </c>
      <c r="E466" s="16">
        <v>154</v>
      </c>
      <c r="F466" s="16">
        <v>215</v>
      </c>
      <c r="G466" s="16">
        <v>92</v>
      </c>
      <c r="H466" s="16">
        <v>0</v>
      </c>
      <c r="I466" s="16">
        <v>0</v>
      </c>
      <c r="J466" s="16">
        <v>3630</v>
      </c>
      <c r="K466" s="16">
        <v>0</v>
      </c>
      <c r="L466" s="16">
        <v>32</v>
      </c>
      <c r="M466" s="16">
        <v>0</v>
      </c>
      <c r="N466" s="16">
        <v>0</v>
      </c>
      <c r="O466" s="16">
        <v>242</v>
      </c>
      <c r="P466" s="16">
        <v>0</v>
      </c>
      <c r="Q466" s="16">
        <v>10</v>
      </c>
      <c r="R466" s="16">
        <v>0</v>
      </c>
      <c r="S466" s="16">
        <v>0</v>
      </c>
      <c r="T466" s="16">
        <v>0</v>
      </c>
      <c r="U466" s="16">
        <v>0</v>
      </c>
      <c r="V466" s="16">
        <v>242</v>
      </c>
      <c r="W466" s="16">
        <v>2130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166</v>
      </c>
      <c r="AD466" s="16">
        <v>3630</v>
      </c>
      <c r="AE466" s="16">
        <v>3630</v>
      </c>
      <c r="AF466" s="16">
        <v>3232</v>
      </c>
      <c r="AG466" s="16">
        <v>256</v>
      </c>
      <c r="AH466" s="16">
        <v>0</v>
      </c>
      <c r="AI466" s="16">
        <v>0</v>
      </c>
      <c r="AJ466" s="16">
        <v>0</v>
      </c>
      <c r="AK466" s="16">
        <v>86</v>
      </c>
      <c r="AL466" s="16">
        <v>0</v>
      </c>
      <c r="AM466" s="16">
        <v>-801</v>
      </c>
      <c r="AN466" s="16">
        <v>0</v>
      </c>
      <c r="AO466" s="16">
        <v>-459</v>
      </c>
      <c r="AP466" s="16">
        <v>3691</v>
      </c>
      <c r="AQ466" s="5" t="s">
        <v>159</v>
      </c>
    </row>
    <row r="467" spans="1:43" x14ac:dyDescent="0.3">
      <c r="A467" s="9" t="s">
        <v>955</v>
      </c>
      <c r="B467" s="11" t="s">
        <v>954</v>
      </c>
      <c r="C467" s="16">
        <v>0</v>
      </c>
      <c r="D467" s="16">
        <v>0</v>
      </c>
      <c r="E467" s="16">
        <v>0</v>
      </c>
      <c r="F467" s="16">
        <v>0</v>
      </c>
      <c r="G467" s="16">
        <v>0</v>
      </c>
      <c r="H467" s="16">
        <v>0</v>
      </c>
      <c r="I467" s="16">
        <v>0</v>
      </c>
      <c r="J467" s="16">
        <v>2979</v>
      </c>
      <c r="K467" s="16">
        <v>0</v>
      </c>
      <c r="L467" s="16">
        <v>16</v>
      </c>
      <c r="M467" s="16">
        <v>0</v>
      </c>
      <c r="N467" s="16">
        <v>0</v>
      </c>
      <c r="O467" s="16">
        <v>176</v>
      </c>
      <c r="P467" s="16">
        <v>0</v>
      </c>
      <c r="Q467" s="16">
        <v>7.5</v>
      </c>
      <c r="R467" s="16">
        <v>0</v>
      </c>
      <c r="S467" s="16">
        <v>0</v>
      </c>
      <c r="T467" s="16">
        <v>0</v>
      </c>
      <c r="U467" s="16">
        <v>0</v>
      </c>
      <c r="V467" s="16">
        <v>176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  <c r="AC467" s="16">
        <v>0</v>
      </c>
      <c r="AD467" s="16">
        <v>2979</v>
      </c>
      <c r="AE467" s="16">
        <v>2979</v>
      </c>
      <c r="AF467" s="16">
        <v>0</v>
      </c>
      <c r="AG467" s="16">
        <v>0</v>
      </c>
      <c r="AH467" s="16">
        <v>0</v>
      </c>
      <c r="AI467" s="16">
        <v>0</v>
      </c>
      <c r="AJ467" s="16">
        <v>0</v>
      </c>
      <c r="AK467" s="16">
        <v>0</v>
      </c>
      <c r="AL467" s="16">
        <v>0</v>
      </c>
      <c r="AM467" s="16">
        <v>-801</v>
      </c>
      <c r="AN467" s="16">
        <v>0</v>
      </c>
      <c r="AO467" s="16">
        <v>-801</v>
      </c>
      <c r="AP467" s="16">
        <v>801</v>
      </c>
      <c r="AQ467" s="5" t="s">
        <v>159</v>
      </c>
    </row>
    <row r="468" spans="1:43" x14ac:dyDescent="0.3">
      <c r="A468" s="9" t="s">
        <v>957</v>
      </c>
      <c r="B468" s="11" t="s">
        <v>956</v>
      </c>
      <c r="C468" s="16">
        <v>-1142</v>
      </c>
      <c r="D468" s="16">
        <v>-623</v>
      </c>
      <c r="E468" s="16">
        <v>-104</v>
      </c>
      <c r="F468" s="16">
        <v>-146</v>
      </c>
      <c r="G468" s="16">
        <v>-63</v>
      </c>
      <c r="H468" s="16">
        <v>-1000</v>
      </c>
      <c r="I468" s="16">
        <v>0</v>
      </c>
      <c r="J468" s="16">
        <v>1361</v>
      </c>
      <c r="K468" s="16">
        <v>0</v>
      </c>
      <c r="L468" s="16">
        <v>12</v>
      </c>
      <c r="M468" s="16">
        <v>0</v>
      </c>
      <c r="N468" s="16">
        <v>0</v>
      </c>
      <c r="O468" s="16">
        <v>15</v>
      </c>
      <c r="P468" s="16">
        <v>500</v>
      </c>
      <c r="Q468" s="16">
        <v>10</v>
      </c>
      <c r="R468" s="16">
        <v>0</v>
      </c>
      <c r="S468" s="16">
        <v>0</v>
      </c>
      <c r="T468" s="16">
        <v>0</v>
      </c>
      <c r="U468" s="16">
        <v>0</v>
      </c>
      <c r="V468" s="16">
        <v>15</v>
      </c>
      <c r="W468" s="16">
        <v>-1438</v>
      </c>
      <c r="X468" s="16">
        <v>0</v>
      </c>
      <c r="Y468" s="16">
        <v>0</v>
      </c>
      <c r="Z468" s="16">
        <v>0</v>
      </c>
      <c r="AA468" s="16">
        <v>0</v>
      </c>
      <c r="AB468" s="16">
        <v>0</v>
      </c>
      <c r="AC468" s="16">
        <v>-112</v>
      </c>
      <c r="AD468" s="16">
        <v>861</v>
      </c>
      <c r="AE468" s="16">
        <v>861</v>
      </c>
      <c r="AF468" s="16">
        <v>-2190</v>
      </c>
      <c r="AG468" s="16">
        <v>-173</v>
      </c>
      <c r="AH468" s="16">
        <v>0</v>
      </c>
      <c r="AI468" s="16">
        <v>0</v>
      </c>
      <c r="AJ468" s="16">
        <v>0</v>
      </c>
      <c r="AK468" s="16">
        <v>-58</v>
      </c>
      <c r="AL468" s="16">
        <v>0</v>
      </c>
      <c r="AM468" s="16">
        <v>-801</v>
      </c>
      <c r="AN468" s="16">
        <v>0</v>
      </c>
      <c r="AO468" s="16">
        <v>-1032</v>
      </c>
      <c r="AP468" s="16">
        <v>-1158</v>
      </c>
      <c r="AQ468" s="5" t="s">
        <v>159</v>
      </c>
    </row>
    <row r="469" spans="1:43" x14ac:dyDescent="0.3">
      <c r="A469" s="9" t="s">
        <v>959</v>
      </c>
      <c r="B469" s="11" t="s">
        <v>958</v>
      </c>
      <c r="C469" s="16">
        <v>0</v>
      </c>
      <c r="D469" s="16">
        <v>0</v>
      </c>
      <c r="E469" s="16">
        <v>0</v>
      </c>
      <c r="F469" s="16">
        <v>0</v>
      </c>
      <c r="G469" s="16">
        <v>0</v>
      </c>
      <c r="H469" s="16">
        <v>0</v>
      </c>
      <c r="I469" s="16">
        <v>0</v>
      </c>
      <c r="J469" s="16">
        <v>0</v>
      </c>
      <c r="K469" s="16">
        <v>0</v>
      </c>
      <c r="L469" s="16">
        <v>0</v>
      </c>
      <c r="M469" s="16">
        <v>0</v>
      </c>
      <c r="N469" s="16">
        <v>0</v>
      </c>
      <c r="O469" s="16">
        <v>252</v>
      </c>
      <c r="P469" s="16">
        <v>0</v>
      </c>
      <c r="Q469" s="16">
        <v>10</v>
      </c>
      <c r="R469" s="16">
        <v>0</v>
      </c>
      <c r="S469" s="16">
        <v>0</v>
      </c>
      <c r="T469" s="16">
        <v>0</v>
      </c>
      <c r="U469" s="16">
        <v>0</v>
      </c>
      <c r="V469" s="16">
        <v>252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6">
        <v>0</v>
      </c>
      <c r="AF469" s="16">
        <v>0</v>
      </c>
      <c r="AG469" s="16">
        <v>0</v>
      </c>
      <c r="AH469" s="16">
        <v>0</v>
      </c>
      <c r="AI469" s="16">
        <v>0</v>
      </c>
      <c r="AJ469" s="16">
        <v>0</v>
      </c>
      <c r="AK469" s="16">
        <v>0</v>
      </c>
      <c r="AL469" s="16">
        <v>0</v>
      </c>
      <c r="AM469" s="16">
        <v>-2403</v>
      </c>
      <c r="AN469" s="16">
        <v>0</v>
      </c>
      <c r="AO469" s="16">
        <v>-2403</v>
      </c>
      <c r="AP469" s="16">
        <v>2403</v>
      </c>
      <c r="AQ469" s="5" t="s">
        <v>159</v>
      </c>
    </row>
    <row r="470" spans="1:43" x14ac:dyDescent="0.3">
      <c r="A470" s="9" t="s">
        <v>961</v>
      </c>
      <c r="B470" s="11" t="s">
        <v>960</v>
      </c>
      <c r="C470" s="16">
        <v>0</v>
      </c>
      <c r="D470" s="16">
        <v>0</v>
      </c>
      <c r="E470" s="16">
        <v>0</v>
      </c>
      <c r="F470" s="16">
        <v>0</v>
      </c>
      <c r="G470" s="16">
        <v>0</v>
      </c>
      <c r="H470" s="16">
        <v>1000</v>
      </c>
      <c r="I470" s="16">
        <v>0</v>
      </c>
      <c r="J470" s="16">
        <v>4550</v>
      </c>
      <c r="K470" s="16">
        <v>0</v>
      </c>
      <c r="L470" s="16">
        <v>45</v>
      </c>
      <c r="M470" s="16">
        <v>0</v>
      </c>
      <c r="N470" s="16">
        <v>500</v>
      </c>
      <c r="O470" s="16">
        <v>60</v>
      </c>
      <c r="P470" s="16">
        <v>500</v>
      </c>
      <c r="Q470" s="16">
        <v>5</v>
      </c>
      <c r="R470" s="16">
        <v>0</v>
      </c>
      <c r="S470" s="16">
        <v>0</v>
      </c>
      <c r="T470" s="16">
        <v>0</v>
      </c>
      <c r="U470" s="16">
        <v>0</v>
      </c>
      <c r="V470" s="16">
        <v>60</v>
      </c>
      <c r="W470" s="16">
        <v>0</v>
      </c>
      <c r="X470" s="16">
        <v>1000</v>
      </c>
      <c r="Y470" s="16">
        <v>7.5</v>
      </c>
      <c r="Z470" s="16">
        <v>32.5</v>
      </c>
      <c r="AA470" s="16">
        <v>967.5</v>
      </c>
      <c r="AB470" s="16">
        <v>0</v>
      </c>
      <c r="AC470" s="16">
        <v>0</v>
      </c>
      <c r="AD470" s="16">
        <v>6550</v>
      </c>
      <c r="AE470" s="16">
        <v>6550</v>
      </c>
      <c r="AF470" s="16">
        <v>0</v>
      </c>
      <c r="AG470" s="16">
        <v>0</v>
      </c>
      <c r="AH470" s="16">
        <v>0</v>
      </c>
      <c r="AI470" s="16">
        <v>0</v>
      </c>
      <c r="AJ470" s="16">
        <v>0</v>
      </c>
      <c r="AK470" s="16">
        <v>0</v>
      </c>
      <c r="AL470" s="16">
        <v>0</v>
      </c>
      <c r="AM470" s="16">
        <v>-2403</v>
      </c>
      <c r="AN470" s="16">
        <v>0</v>
      </c>
      <c r="AO470" s="16">
        <v>-2403</v>
      </c>
      <c r="AP470" s="16">
        <v>2403</v>
      </c>
      <c r="AQ470" s="5" t="s">
        <v>159</v>
      </c>
    </row>
    <row r="471" spans="1:43" x14ac:dyDescent="0.3">
      <c r="A471" s="9" t="s">
        <v>963</v>
      </c>
      <c r="B471" s="11" t="s">
        <v>962</v>
      </c>
      <c r="C471" s="16">
        <v>2286</v>
      </c>
      <c r="D471" s="16">
        <v>1246</v>
      </c>
      <c r="E471" s="16">
        <v>208</v>
      </c>
      <c r="F471" s="16">
        <v>291</v>
      </c>
      <c r="G471" s="16">
        <v>124</v>
      </c>
      <c r="H471" s="16">
        <v>0</v>
      </c>
      <c r="I471" s="16">
        <v>-115.15</v>
      </c>
      <c r="J471" s="16">
        <v>596</v>
      </c>
      <c r="K471" s="16">
        <v>0</v>
      </c>
      <c r="L471" s="16">
        <v>6</v>
      </c>
      <c r="M471" s="16">
        <v>0</v>
      </c>
      <c r="N471" s="16">
        <v>0</v>
      </c>
      <c r="O471" s="16">
        <v>371</v>
      </c>
      <c r="P471" s="16">
        <v>0</v>
      </c>
      <c r="Q471" s="16">
        <v>17.5</v>
      </c>
      <c r="R471" s="16">
        <v>0</v>
      </c>
      <c r="S471" s="16">
        <v>0</v>
      </c>
      <c r="T471" s="16">
        <v>0</v>
      </c>
      <c r="U471" s="16">
        <v>0</v>
      </c>
      <c r="V471" s="16">
        <v>371</v>
      </c>
      <c r="W471" s="16">
        <v>2909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  <c r="AC471" s="16">
        <v>499</v>
      </c>
      <c r="AD471" s="16">
        <v>481</v>
      </c>
      <c r="AE471" s="16">
        <v>481</v>
      </c>
      <c r="AF471" s="16">
        <v>4654</v>
      </c>
      <c r="AG471" s="16">
        <v>349</v>
      </c>
      <c r="AH471" s="16">
        <v>0</v>
      </c>
      <c r="AI471" s="16">
        <v>0</v>
      </c>
      <c r="AJ471" s="16">
        <v>0</v>
      </c>
      <c r="AK471" s="16">
        <v>132</v>
      </c>
      <c r="AL471" s="16">
        <v>0</v>
      </c>
      <c r="AM471" s="16">
        <v>-1602</v>
      </c>
      <c r="AN471" s="16">
        <v>0</v>
      </c>
      <c r="AO471" s="16">
        <v>-1121</v>
      </c>
      <c r="AP471" s="16">
        <v>5775</v>
      </c>
      <c r="AQ471" s="5" t="s">
        <v>159</v>
      </c>
    </row>
    <row r="472" spans="1:43" x14ac:dyDescent="0.3">
      <c r="A472" s="9" t="s">
        <v>965</v>
      </c>
      <c r="B472" s="11" t="s">
        <v>964</v>
      </c>
      <c r="C472" s="16">
        <v>24200</v>
      </c>
      <c r="D472" s="16">
        <v>13200</v>
      </c>
      <c r="E472" s="16">
        <v>2200</v>
      </c>
      <c r="F472" s="16">
        <v>3080</v>
      </c>
      <c r="G472" s="16">
        <v>1320</v>
      </c>
      <c r="H472" s="16">
        <v>0</v>
      </c>
      <c r="I472" s="16">
        <v>0</v>
      </c>
      <c r="J472" s="16">
        <v>0</v>
      </c>
      <c r="K472" s="16">
        <v>0</v>
      </c>
      <c r="L472" s="16">
        <v>0</v>
      </c>
      <c r="M472" s="16">
        <v>0</v>
      </c>
      <c r="N472" s="16">
        <v>0</v>
      </c>
      <c r="O472" s="16">
        <v>2758</v>
      </c>
      <c r="P472" s="16">
        <v>0</v>
      </c>
      <c r="Q472" s="16">
        <v>4</v>
      </c>
      <c r="R472" s="16">
        <v>0</v>
      </c>
      <c r="S472" s="16">
        <v>0</v>
      </c>
      <c r="T472" s="16">
        <v>0</v>
      </c>
      <c r="U472" s="16">
        <v>0</v>
      </c>
      <c r="V472" s="16">
        <v>2758</v>
      </c>
      <c r="W472" s="16">
        <v>6600</v>
      </c>
      <c r="X472" s="16">
        <v>0</v>
      </c>
      <c r="Y472" s="16">
        <v>0</v>
      </c>
      <c r="Z472" s="16">
        <v>0</v>
      </c>
      <c r="AA472" s="16">
        <v>0</v>
      </c>
      <c r="AB472" s="16">
        <v>0</v>
      </c>
      <c r="AC472" s="16">
        <v>14929</v>
      </c>
      <c r="AD472" s="16">
        <v>0</v>
      </c>
      <c r="AE472" s="16">
        <v>0</v>
      </c>
      <c r="AF472" s="16">
        <v>58929</v>
      </c>
      <c r="AG472" s="16">
        <v>792</v>
      </c>
      <c r="AH472" s="16">
        <v>0</v>
      </c>
      <c r="AI472" s="16">
        <v>0</v>
      </c>
      <c r="AJ472" s="16">
        <v>0</v>
      </c>
      <c r="AK472" s="16">
        <v>471</v>
      </c>
      <c r="AL472" s="16">
        <v>0</v>
      </c>
      <c r="AM472" s="16">
        <v>0</v>
      </c>
      <c r="AN472" s="16">
        <v>0</v>
      </c>
      <c r="AO472" s="16">
        <v>1263</v>
      </c>
      <c r="AP472" s="16">
        <v>57666</v>
      </c>
      <c r="AQ472" s="5" t="s">
        <v>159</v>
      </c>
    </row>
    <row r="473" spans="1:43" x14ac:dyDescent="0.3">
      <c r="A473" s="9" t="s">
        <v>967</v>
      </c>
      <c r="B473" s="11" t="s">
        <v>966</v>
      </c>
      <c r="C473" s="16">
        <v>0</v>
      </c>
      <c r="D473" s="16">
        <v>0</v>
      </c>
      <c r="E473" s="16">
        <v>0</v>
      </c>
      <c r="F473" s="16">
        <v>0</v>
      </c>
      <c r="G473" s="16">
        <v>0</v>
      </c>
      <c r="H473" s="16">
        <v>0</v>
      </c>
      <c r="I473" s="16">
        <v>0</v>
      </c>
      <c r="J473" s="16">
        <v>9864</v>
      </c>
      <c r="K473" s="16">
        <v>0</v>
      </c>
      <c r="L473" s="16">
        <v>53.5</v>
      </c>
      <c r="M473" s="16">
        <v>0</v>
      </c>
      <c r="N473" s="16">
        <v>0</v>
      </c>
      <c r="O473" s="16">
        <v>31</v>
      </c>
      <c r="P473" s="16">
        <v>1000</v>
      </c>
      <c r="Q473" s="16">
        <v>1.25</v>
      </c>
      <c r="R473" s="16">
        <v>0</v>
      </c>
      <c r="S473" s="16">
        <v>0</v>
      </c>
      <c r="T473" s="16">
        <v>0</v>
      </c>
      <c r="U473" s="16">
        <v>0</v>
      </c>
      <c r="V473" s="16">
        <v>31</v>
      </c>
      <c r="W473" s="16">
        <v>0</v>
      </c>
      <c r="X473" s="16">
        <v>0</v>
      </c>
      <c r="Y473" s="16">
        <v>0</v>
      </c>
      <c r="Z473" s="16">
        <v>0</v>
      </c>
      <c r="AA473" s="16">
        <v>0</v>
      </c>
      <c r="AB473" s="16">
        <v>0</v>
      </c>
      <c r="AC473" s="16">
        <v>0</v>
      </c>
      <c r="AD473" s="16">
        <v>10864</v>
      </c>
      <c r="AE473" s="16">
        <v>10864</v>
      </c>
      <c r="AF473" s="16">
        <v>0</v>
      </c>
      <c r="AG473" s="16">
        <v>0</v>
      </c>
      <c r="AH473" s="16">
        <v>0</v>
      </c>
      <c r="AI473" s="16">
        <v>0</v>
      </c>
      <c r="AJ473" s="16">
        <v>0</v>
      </c>
      <c r="AK473" s="16">
        <v>0</v>
      </c>
      <c r="AL473" s="16">
        <v>0</v>
      </c>
      <c r="AM473" s="16">
        <v>-2403</v>
      </c>
      <c r="AN473" s="16">
        <v>0</v>
      </c>
      <c r="AO473" s="16">
        <v>-2403</v>
      </c>
      <c r="AP473" s="16">
        <v>2403</v>
      </c>
      <c r="AQ473" s="5" t="s">
        <v>159</v>
      </c>
    </row>
    <row r="474" spans="1:43" x14ac:dyDescent="0.3">
      <c r="A474" s="9" t="s">
        <v>969</v>
      </c>
      <c r="B474" s="11" t="s">
        <v>968</v>
      </c>
      <c r="C474" s="16">
        <v>0</v>
      </c>
      <c r="D474" s="16">
        <v>0</v>
      </c>
      <c r="E474" s="16">
        <v>0</v>
      </c>
      <c r="F474" s="16">
        <v>0</v>
      </c>
      <c r="G474" s="16">
        <v>0</v>
      </c>
      <c r="H474" s="16">
        <v>0</v>
      </c>
      <c r="I474" s="16">
        <v>0</v>
      </c>
      <c r="J474" s="16">
        <v>0</v>
      </c>
      <c r="K474" s="16">
        <v>0</v>
      </c>
      <c r="L474" s="16">
        <v>0</v>
      </c>
      <c r="M474" s="16">
        <v>0</v>
      </c>
      <c r="N474" s="16">
        <v>0</v>
      </c>
      <c r="O474" s="16">
        <v>48</v>
      </c>
      <c r="P474" s="16">
        <v>0</v>
      </c>
      <c r="Q474" s="16">
        <v>2.4</v>
      </c>
      <c r="R474" s="16">
        <v>0</v>
      </c>
      <c r="S474" s="16">
        <v>0</v>
      </c>
      <c r="T474" s="16">
        <v>0</v>
      </c>
      <c r="U474" s="16">
        <v>0</v>
      </c>
      <c r="V474" s="16">
        <v>48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  <c r="AC474" s="16">
        <v>0</v>
      </c>
      <c r="AD474" s="16">
        <v>0</v>
      </c>
      <c r="AE474" s="16">
        <v>0</v>
      </c>
      <c r="AF474" s="16">
        <v>0</v>
      </c>
      <c r="AG474" s="16">
        <v>0</v>
      </c>
      <c r="AH474" s="16">
        <v>0</v>
      </c>
      <c r="AI474" s="16">
        <v>0</v>
      </c>
      <c r="AJ474" s="16">
        <v>0</v>
      </c>
      <c r="AK474" s="16">
        <v>0</v>
      </c>
      <c r="AL474" s="16">
        <v>0</v>
      </c>
      <c r="AM474" s="16">
        <v>-2403</v>
      </c>
      <c r="AN474" s="16">
        <v>0</v>
      </c>
      <c r="AO474" s="16">
        <v>-2403</v>
      </c>
      <c r="AP474" s="16">
        <v>2403</v>
      </c>
      <c r="AQ474" s="5" t="s">
        <v>159</v>
      </c>
    </row>
    <row r="475" spans="1:43" x14ac:dyDescent="0.3">
      <c r="A475" s="9" t="s">
        <v>971</v>
      </c>
      <c r="B475" s="11" t="s">
        <v>970</v>
      </c>
      <c r="C475" s="16">
        <v>408</v>
      </c>
      <c r="D475" s="16">
        <v>223</v>
      </c>
      <c r="E475" s="16">
        <v>37</v>
      </c>
      <c r="F475" s="16">
        <v>52</v>
      </c>
      <c r="G475" s="16">
        <v>23</v>
      </c>
      <c r="H475" s="16">
        <v>0</v>
      </c>
      <c r="I475" s="16">
        <v>0</v>
      </c>
      <c r="J475" s="16">
        <v>414</v>
      </c>
      <c r="K475" s="16">
        <v>743</v>
      </c>
      <c r="L475" s="16">
        <v>4.5</v>
      </c>
      <c r="M475" s="16">
        <v>0</v>
      </c>
      <c r="N475" s="16">
        <v>0</v>
      </c>
      <c r="O475" s="16">
        <v>150</v>
      </c>
      <c r="P475" s="16">
        <v>0</v>
      </c>
      <c r="Q475" s="16">
        <v>15</v>
      </c>
      <c r="R475" s="16">
        <v>3</v>
      </c>
      <c r="S475" s="16">
        <v>13</v>
      </c>
      <c r="T475" s="16">
        <v>1</v>
      </c>
      <c r="U475" s="16">
        <v>5</v>
      </c>
      <c r="V475" s="16">
        <v>149</v>
      </c>
      <c r="W475" s="16">
        <v>520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  <c r="AC475" s="16">
        <v>0</v>
      </c>
      <c r="AD475" s="16">
        <v>414</v>
      </c>
      <c r="AE475" s="16">
        <v>411</v>
      </c>
      <c r="AF475" s="16">
        <v>743</v>
      </c>
      <c r="AG475" s="16">
        <v>62</v>
      </c>
      <c r="AH475" s="16">
        <v>6</v>
      </c>
      <c r="AI475" s="16">
        <v>0</v>
      </c>
      <c r="AJ475" s="16">
        <v>0</v>
      </c>
      <c r="AK475" s="16">
        <v>-536</v>
      </c>
      <c r="AL475" s="16">
        <v>0</v>
      </c>
      <c r="AM475" s="16">
        <v>0</v>
      </c>
      <c r="AN475" s="16">
        <v>0</v>
      </c>
      <c r="AO475" s="16">
        <v>-468</v>
      </c>
      <c r="AP475" s="16">
        <v>1211</v>
      </c>
      <c r="AQ475" s="5" t="s">
        <v>159</v>
      </c>
    </row>
    <row r="476" spans="1:43" x14ac:dyDescent="0.3">
      <c r="A476" s="9" t="s">
        <v>973</v>
      </c>
      <c r="B476" s="11" t="s">
        <v>972</v>
      </c>
      <c r="C476" s="16">
        <v>0</v>
      </c>
      <c r="D476" s="16">
        <v>0</v>
      </c>
      <c r="E476" s="16">
        <v>0</v>
      </c>
      <c r="F476" s="16">
        <v>0</v>
      </c>
      <c r="G476" s="16">
        <v>0</v>
      </c>
      <c r="H476" s="16">
        <v>0</v>
      </c>
      <c r="I476" s="16">
        <v>0</v>
      </c>
      <c r="J476" s="16">
        <v>0</v>
      </c>
      <c r="K476" s="16">
        <v>0</v>
      </c>
      <c r="L476" s="16">
        <v>0</v>
      </c>
      <c r="M476" s="16">
        <v>0</v>
      </c>
      <c r="N476" s="16">
        <v>0</v>
      </c>
      <c r="O476" s="16">
        <v>12</v>
      </c>
      <c r="P476" s="16">
        <v>0</v>
      </c>
      <c r="Q476" s="16">
        <v>0.6</v>
      </c>
      <c r="R476" s="16">
        <v>0</v>
      </c>
      <c r="S476" s="16">
        <v>0</v>
      </c>
      <c r="T476" s="16">
        <v>0</v>
      </c>
      <c r="U476" s="16">
        <v>0</v>
      </c>
      <c r="V476" s="16">
        <v>12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  <c r="AC476" s="16">
        <v>0</v>
      </c>
      <c r="AD476" s="16">
        <v>0</v>
      </c>
      <c r="AE476" s="16">
        <v>0</v>
      </c>
      <c r="AF476" s="16">
        <v>0</v>
      </c>
      <c r="AG476" s="16">
        <v>0</v>
      </c>
      <c r="AH476" s="16">
        <v>0</v>
      </c>
      <c r="AI476" s="16">
        <v>0</v>
      </c>
      <c r="AJ476" s="16">
        <v>0</v>
      </c>
      <c r="AK476" s="16">
        <v>0</v>
      </c>
      <c r="AL476" s="16">
        <v>0</v>
      </c>
      <c r="AM476" s="16">
        <v>-2403</v>
      </c>
      <c r="AN476" s="16">
        <v>0</v>
      </c>
      <c r="AO476" s="16">
        <v>-2403</v>
      </c>
      <c r="AP476" s="16">
        <v>2403</v>
      </c>
      <c r="AQ476" s="5" t="s">
        <v>159</v>
      </c>
    </row>
    <row r="477" spans="1:43" x14ac:dyDescent="0.3">
      <c r="A477" s="9" t="s">
        <v>975</v>
      </c>
      <c r="B477" s="11" t="s">
        <v>974</v>
      </c>
      <c r="C477" s="16">
        <v>0</v>
      </c>
      <c r="D477" s="16">
        <v>0</v>
      </c>
      <c r="E477" s="16">
        <v>0</v>
      </c>
      <c r="F477" s="16">
        <v>0</v>
      </c>
      <c r="G477" s="16">
        <v>0</v>
      </c>
      <c r="H477" s="16">
        <v>0</v>
      </c>
      <c r="I477" s="16">
        <v>0</v>
      </c>
      <c r="J477" s="16">
        <v>1018</v>
      </c>
      <c r="K477" s="16">
        <v>0</v>
      </c>
      <c r="L477" s="16">
        <v>10</v>
      </c>
      <c r="M477" s="16">
        <v>0</v>
      </c>
      <c r="N477" s="16">
        <v>0</v>
      </c>
      <c r="O477" s="16">
        <v>111</v>
      </c>
      <c r="P477" s="16">
        <v>0</v>
      </c>
      <c r="Q477" s="16">
        <v>10</v>
      </c>
      <c r="R477" s="16">
        <v>0</v>
      </c>
      <c r="S477" s="16">
        <v>0</v>
      </c>
      <c r="T477" s="16">
        <v>0</v>
      </c>
      <c r="U477" s="16">
        <v>0</v>
      </c>
      <c r="V477" s="16">
        <v>111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  <c r="AC477" s="16">
        <v>0</v>
      </c>
      <c r="AD477" s="16">
        <v>1018</v>
      </c>
      <c r="AE477" s="16">
        <v>1018</v>
      </c>
      <c r="AF477" s="16">
        <v>0</v>
      </c>
      <c r="AG477" s="16">
        <v>0</v>
      </c>
      <c r="AH477" s="16">
        <v>0</v>
      </c>
      <c r="AI477" s="16">
        <v>0</v>
      </c>
      <c r="AJ477" s="16">
        <v>0</v>
      </c>
      <c r="AK477" s="16">
        <v>0</v>
      </c>
      <c r="AL477" s="16">
        <v>0</v>
      </c>
      <c r="AM477" s="16">
        <v>-801</v>
      </c>
      <c r="AN477" s="16">
        <v>100</v>
      </c>
      <c r="AO477" s="16">
        <v>-701</v>
      </c>
      <c r="AP477" s="16">
        <v>701</v>
      </c>
      <c r="AQ477" s="5" t="s">
        <v>159</v>
      </c>
    </row>
    <row r="478" spans="1:43" x14ac:dyDescent="0.3">
      <c r="A478" s="9" t="s">
        <v>977</v>
      </c>
      <c r="B478" s="11" t="s">
        <v>976</v>
      </c>
      <c r="C478" s="16">
        <v>0</v>
      </c>
      <c r="D478" s="16">
        <v>0</v>
      </c>
      <c r="E478" s="16">
        <v>0</v>
      </c>
      <c r="F478" s="16">
        <v>0</v>
      </c>
      <c r="G478" s="16">
        <v>0</v>
      </c>
      <c r="H478" s="16">
        <v>0</v>
      </c>
      <c r="I478" s="16">
        <v>384.69</v>
      </c>
      <c r="J478" s="16">
        <v>2971</v>
      </c>
      <c r="K478" s="16">
        <v>0</v>
      </c>
      <c r="L478" s="16">
        <v>24</v>
      </c>
      <c r="M478" s="16">
        <v>0</v>
      </c>
      <c r="N478" s="16">
        <v>0</v>
      </c>
      <c r="O478" s="16">
        <v>138</v>
      </c>
      <c r="P478" s="16">
        <v>0</v>
      </c>
      <c r="Q478" s="16">
        <v>9</v>
      </c>
      <c r="R478" s="16">
        <v>0</v>
      </c>
      <c r="S478" s="16">
        <v>0</v>
      </c>
      <c r="T478" s="16">
        <v>0</v>
      </c>
      <c r="U478" s="16">
        <v>0</v>
      </c>
      <c r="V478" s="16">
        <v>138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  <c r="AC478" s="16">
        <v>0</v>
      </c>
      <c r="AD478" s="16">
        <v>3356</v>
      </c>
      <c r="AE478" s="16">
        <v>3356</v>
      </c>
      <c r="AF478" s="16">
        <v>0</v>
      </c>
      <c r="AG478" s="16">
        <v>0</v>
      </c>
      <c r="AH478" s="16">
        <v>0</v>
      </c>
      <c r="AI478" s="16">
        <v>0</v>
      </c>
      <c r="AJ478" s="16">
        <v>0</v>
      </c>
      <c r="AK478" s="16">
        <v>0</v>
      </c>
      <c r="AL478" s="16">
        <v>0</v>
      </c>
      <c r="AM478" s="16">
        <v>-3204</v>
      </c>
      <c r="AN478" s="16">
        <v>-100</v>
      </c>
      <c r="AO478" s="16">
        <v>-3304</v>
      </c>
      <c r="AP478" s="16">
        <v>3304</v>
      </c>
      <c r="AQ478" s="5" t="s">
        <v>159</v>
      </c>
    </row>
    <row r="479" spans="1:43" x14ac:dyDescent="0.3">
      <c r="A479" s="9" t="s">
        <v>979</v>
      </c>
      <c r="B479" s="11" t="s">
        <v>978</v>
      </c>
      <c r="C479" s="16">
        <v>-5631</v>
      </c>
      <c r="D479" s="16">
        <v>-3071</v>
      </c>
      <c r="E479" s="16">
        <v>-512</v>
      </c>
      <c r="F479" s="16">
        <v>-716</v>
      </c>
      <c r="G479" s="16">
        <v>-307</v>
      </c>
      <c r="H479" s="16">
        <v>0</v>
      </c>
      <c r="I479" s="16">
        <v>0</v>
      </c>
      <c r="J479" s="16">
        <v>0</v>
      </c>
      <c r="K479" s="16">
        <v>0</v>
      </c>
      <c r="L479" s="16">
        <v>0</v>
      </c>
      <c r="M479" s="16">
        <v>0</v>
      </c>
      <c r="N479" s="16">
        <v>0</v>
      </c>
      <c r="O479" s="16">
        <v>-742</v>
      </c>
      <c r="P479" s="16">
        <v>0</v>
      </c>
      <c r="Q479" s="16">
        <v>0.1</v>
      </c>
      <c r="R479" s="16">
        <v>0</v>
      </c>
      <c r="S479" s="16">
        <v>0</v>
      </c>
      <c r="T479" s="16">
        <v>0</v>
      </c>
      <c r="U479" s="16">
        <v>0</v>
      </c>
      <c r="V479" s="16">
        <v>-742</v>
      </c>
      <c r="W479" s="16">
        <v>-7166</v>
      </c>
      <c r="X479" s="16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-5091</v>
      </c>
      <c r="AD479" s="16">
        <v>0</v>
      </c>
      <c r="AE479" s="16">
        <v>0</v>
      </c>
      <c r="AF479" s="16">
        <v>-15328</v>
      </c>
      <c r="AG479" s="16">
        <v>-860</v>
      </c>
      <c r="AH479" s="16">
        <v>0</v>
      </c>
      <c r="AI479" s="16">
        <v>-37</v>
      </c>
      <c r="AJ479" s="16">
        <v>0</v>
      </c>
      <c r="AK479" s="16">
        <v>-348</v>
      </c>
      <c r="AL479" s="16">
        <v>0</v>
      </c>
      <c r="AM479" s="16">
        <v>-2403</v>
      </c>
      <c r="AN479" s="16">
        <v>0</v>
      </c>
      <c r="AO479" s="16">
        <v>-3648</v>
      </c>
      <c r="AP479" s="16">
        <v>-11680</v>
      </c>
      <c r="AQ479" s="5" t="s">
        <v>159</v>
      </c>
    </row>
    <row r="480" spans="1:43" x14ac:dyDescent="0.3">
      <c r="A480" s="9" t="s">
        <v>981</v>
      </c>
      <c r="B480" s="11" t="s">
        <v>980</v>
      </c>
      <c r="C480" s="16">
        <v>409</v>
      </c>
      <c r="D480" s="16">
        <v>224</v>
      </c>
      <c r="E480" s="16">
        <v>37</v>
      </c>
      <c r="F480" s="16">
        <v>52</v>
      </c>
      <c r="G480" s="16">
        <v>22</v>
      </c>
      <c r="H480" s="16">
        <v>0</v>
      </c>
      <c r="I480" s="16">
        <v>442.69</v>
      </c>
      <c r="J480" s="16">
        <v>0</v>
      </c>
      <c r="K480" s="16">
        <v>0</v>
      </c>
      <c r="L480" s="16">
        <v>0</v>
      </c>
      <c r="M480" s="16">
        <v>0</v>
      </c>
      <c r="N480" s="16">
        <v>0</v>
      </c>
      <c r="O480" s="16">
        <v>180</v>
      </c>
      <c r="P480" s="16">
        <v>0</v>
      </c>
      <c r="Q480" s="16">
        <v>10</v>
      </c>
      <c r="R480" s="16">
        <v>0</v>
      </c>
      <c r="S480" s="16">
        <v>0</v>
      </c>
      <c r="T480" s="16">
        <v>0</v>
      </c>
      <c r="U480" s="16">
        <v>0</v>
      </c>
      <c r="V480" s="16">
        <v>180</v>
      </c>
      <c r="W480" s="16">
        <v>520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  <c r="AC480" s="16">
        <v>191</v>
      </c>
      <c r="AD480" s="16">
        <v>443</v>
      </c>
      <c r="AE480" s="16">
        <v>443</v>
      </c>
      <c r="AF480" s="16">
        <v>935</v>
      </c>
      <c r="AG480" s="16">
        <v>62</v>
      </c>
      <c r="AH480" s="16">
        <v>0</v>
      </c>
      <c r="AI480" s="16">
        <v>0</v>
      </c>
      <c r="AJ480" s="16">
        <v>0</v>
      </c>
      <c r="AK480" s="16">
        <v>21</v>
      </c>
      <c r="AL480" s="16">
        <v>0</v>
      </c>
      <c r="AM480" s="16">
        <v>-1602</v>
      </c>
      <c r="AN480" s="16">
        <v>-100</v>
      </c>
      <c r="AO480" s="16">
        <v>-1619</v>
      </c>
      <c r="AP480" s="16">
        <v>2554</v>
      </c>
      <c r="AQ480" s="5" t="s">
        <v>159</v>
      </c>
    </row>
    <row r="481" spans="1:43" ht="15" thickBot="1" x14ac:dyDescent="0.35">
      <c r="A481" s="7"/>
      <c r="B481" s="8" t="s">
        <v>982</v>
      </c>
      <c r="C481" s="17">
        <f t="shared" ref="C481:AP481" si="2">SUM(C67:C480)</f>
        <v>-50943</v>
      </c>
      <c r="D481" s="17">
        <f t="shared" si="2"/>
        <v>-27793</v>
      </c>
      <c r="E481" s="17">
        <f t="shared" si="2"/>
        <v>-4634</v>
      </c>
      <c r="F481" s="17">
        <f t="shared" si="2"/>
        <v>-6488</v>
      </c>
      <c r="G481" s="17">
        <f t="shared" si="2"/>
        <v>-2795</v>
      </c>
      <c r="H481" s="17">
        <f t="shared" si="2"/>
        <v>10000</v>
      </c>
      <c r="I481" s="17">
        <f t="shared" si="2"/>
        <v>1348.0000000000007</v>
      </c>
      <c r="J481" s="17">
        <f t="shared" si="2"/>
        <v>237143</v>
      </c>
      <c r="K481" s="17">
        <f t="shared" si="2"/>
        <v>-104676</v>
      </c>
      <c r="L481" s="17">
        <f t="shared" si="2"/>
        <v>2122</v>
      </c>
      <c r="M481" s="17">
        <f t="shared" si="2"/>
        <v>0</v>
      </c>
      <c r="N481" s="17">
        <f t="shared" si="2"/>
        <v>9500</v>
      </c>
      <c r="O481" s="17">
        <f t="shared" si="2"/>
        <v>8832</v>
      </c>
      <c r="P481" s="17">
        <f t="shared" si="2"/>
        <v>16500</v>
      </c>
      <c r="Q481" s="17">
        <f t="shared" si="2"/>
        <v>548.60000000000014</v>
      </c>
      <c r="R481" s="17">
        <f t="shared" si="2"/>
        <v>95</v>
      </c>
      <c r="S481" s="17">
        <f t="shared" si="2"/>
        <v>388</v>
      </c>
      <c r="T481" s="17">
        <f t="shared" si="2"/>
        <v>-41</v>
      </c>
      <c r="U481" s="17">
        <f t="shared" si="2"/>
        <v>-175</v>
      </c>
      <c r="V481" s="17">
        <f t="shared" si="2"/>
        <v>8873</v>
      </c>
      <c r="W481" s="17">
        <f t="shared" si="2"/>
        <v>-55652.930000000008</v>
      </c>
      <c r="X481" s="17">
        <f t="shared" si="2"/>
        <v>3500</v>
      </c>
      <c r="Y481" s="17">
        <f t="shared" si="2"/>
        <v>26.25</v>
      </c>
      <c r="Z481" s="17">
        <f t="shared" si="2"/>
        <v>113.75</v>
      </c>
      <c r="AA481" s="17">
        <f t="shared" si="2"/>
        <v>3386.25</v>
      </c>
      <c r="AB481" s="17">
        <f t="shared" si="2"/>
        <v>-1000</v>
      </c>
      <c r="AC481" s="17">
        <f t="shared" si="2"/>
        <v>-2437</v>
      </c>
      <c r="AD481" s="17">
        <f t="shared" si="2"/>
        <v>273489</v>
      </c>
      <c r="AE481" s="17">
        <f t="shared" si="2"/>
        <v>273394</v>
      </c>
      <c r="AF481" s="17">
        <f t="shared" si="2"/>
        <v>-95090</v>
      </c>
      <c r="AG481" s="17">
        <f t="shared" si="2"/>
        <v>-6683</v>
      </c>
      <c r="AH481" s="17">
        <f t="shared" si="2"/>
        <v>-781</v>
      </c>
      <c r="AI481" s="17">
        <f t="shared" si="2"/>
        <v>-2090</v>
      </c>
      <c r="AJ481" s="17">
        <f t="shared" si="2"/>
        <v>-253353</v>
      </c>
      <c r="AK481" s="17">
        <f t="shared" si="2"/>
        <v>-4727</v>
      </c>
      <c r="AL481" s="17">
        <f t="shared" si="2"/>
        <v>1209</v>
      </c>
      <c r="AM481" s="17">
        <f t="shared" si="2"/>
        <v>-652587.60000000009</v>
      </c>
      <c r="AN481" s="17">
        <f t="shared" si="2"/>
        <v>-100</v>
      </c>
      <c r="AO481" s="17">
        <f t="shared" si="2"/>
        <v>-919112.60000000009</v>
      </c>
      <c r="AP481" s="17">
        <f t="shared" si="2"/>
        <v>824023</v>
      </c>
      <c r="AQ481" s="6" t="s">
        <v>159</v>
      </c>
    </row>
    <row r="482" spans="1:43" ht="15" thickTop="1" x14ac:dyDescent="0.3">
      <c r="B482" s="11"/>
    </row>
    <row r="483" spans="1:43" ht="15" thickBot="1" x14ac:dyDescent="0.35">
      <c r="A483" s="7"/>
      <c r="B483" s="8" t="s">
        <v>983</v>
      </c>
      <c r="C483" s="19">
        <f t="shared" ref="C483:AP483" si="3">SUM(C41,C481)-C64</f>
        <v>106145</v>
      </c>
      <c r="D483" s="19">
        <f t="shared" si="3"/>
        <v>57891</v>
      </c>
      <c r="E483" s="19">
        <f t="shared" si="3"/>
        <v>9653</v>
      </c>
      <c r="F483" s="19">
        <f t="shared" si="3"/>
        <v>13509</v>
      </c>
      <c r="G483" s="19">
        <f t="shared" si="3"/>
        <v>5777</v>
      </c>
      <c r="H483" s="19">
        <f t="shared" si="3"/>
        <v>10000</v>
      </c>
      <c r="I483" s="19">
        <f t="shared" si="3"/>
        <v>-1263.0699999999993</v>
      </c>
      <c r="J483" s="19">
        <f t="shared" si="3"/>
        <v>239337</v>
      </c>
      <c r="K483" s="19">
        <f t="shared" si="3"/>
        <v>118677</v>
      </c>
      <c r="L483" s="19">
        <f t="shared" si="3"/>
        <v>2166.5</v>
      </c>
      <c r="M483" s="19">
        <f t="shared" si="3"/>
        <v>12780.099999999999</v>
      </c>
      <c r="N483" s="19">
        <f t="shared" si="3"/>
        <v>9500</v>
      </c>
      <c r="O483" s="19">
        <f t="shared" si="3"/>
        <v>23108</v>
      </c>
      <c r="P483" s="19">
        <f t="shared" si="3"/>
        <v>17000</v>
      </c>
      <c r="Q483" s="19">
        <f t="shared" si="3"/>
        <v>1974.1000000000004</v>
      </c>
      <c r="R483" s="19">
        <f t="shared" si="3"/>
        <v>73</v>
      </c>
      <c r="S483" s="19">
        <f t="shared" si="3"/>
        <v>294</v>
      </c>
      <c r="T483" s="19">
        <f t="shared" si="3"/>
        <v>38</v>
      </c>
      <c r="U483" s="19">
        <f t="shared" si="3"/>
        <v>159</v>
      </c>
      <c r="V483" s="19">
        <f t="shared" si="3"/>
        <v>23070</v>
      </c>
      <c r="W483" s="19">
        <f t="shared" si="3"/>
        <v>151254.5</v>
      </c>
      <c r="X483" s="19">
        <f t="shared" si="3"/>
        <v>3500</v>
      </c>
      <c r="Y483" s="19">
        <f t="shared" si="3"/>
        <v>26.25</v>
      </c>
      <c r="Z483" s="19">
        <f t="shared" si="3"/>
        <v>113.75</v>
      </c>
      <c r="AA483" s="19">
        <f t="shared" si="3"/>
        <v>3386.25</v>
      </c>
      <c r="AB483" s="19">
        <f t="shared" si="3"/>
        <v>-1000</v>
      </c>
      <c r="AC483" s="19">
        <f t="shared" si="3"/>
        <v>8322</v>
      </c>
      <c r="AD483" s="19">
        <f t="shared" si="3"/>
        <v>273571</v>
      </c>
      <c r="AE483" s="19">
        <f t="shared" si="3"/>
        <v>273498</v>
      </c>
      <c r="AF483" s="19">
        <f t="shared" si="3"/>
        <v>201297</v>
      </c>
      <c r="AG483" s="19">
        <f t="shared" si="3"/>
        <v>18148</v>
      </c>
      <c r="AH483" s="19">
        <f t="shared" si="3"/>
        <v>897</v>
      </c>
      <c r="AI483" s="19">
        <f t="shared" si="3"/>
        <v>1718</v>
      </c>
      <c r="AJ483" s="19">
        <f t="shared" si="3"/>
        <v>-253353</v>
      </c>
      <c r="AK483" s="19">
        <f t="shared" si="3"/>
        <v>4808</v>
      </c>
      <c r="AL483" s="19">
        <f t="shared" si="3"/>
        <v>1889</v>
      </c>
      <c r="AM483" s="19">
        <f t="shared" si="3"/>
        <v>-670209.60000000009</v>
      </c>
      <c r="AN483" s="19">
        <f t="shared" si="3"/>
        <v>-200</v>
      </c>
      <c r="AO483" s="19">
        <f t="shared" si="3"/>
        <v>-896302.60000000009</v>
      </c>
      <c r="AP483" s="19">
        <f t="shared" si="3"/>
        <v>1097600</v>
      </c>
      <c r="AQ483" s="18">
        <f>SUM(AQ41,AQ64)</f>
        <v>13</v>
      </c>
    </row>
    <row r="484" spans="1:43" ht="15" thickTop="1" x14ac:dyDescent="0.3">
      <c r="B484" s="11" t="s">
        <v>984</v>
      </c>
    </row>
    <row r="485" spans="1:43" x14ac:dyDescent="0.3">
      <c r="B485" s="11"/>
    </row>
    <row r="486" spans="1:43" x14ac:dyDescent="0.3">
      <c r="A486" s="20"/>
      <c r="B486" s="21" t="s">
        <v>985</v>
      </c>
      <c r="C486" s="22">
        <f t="shared" ref="C486:AQ486" si="4">SUM(C483,C5)</f>
        <v>6573168</v>
      </c>
      <c r="D486" s="22">
        <f t="shared" si="4"/>
        <v>3585343</v>
      </c>
      <c r="E486" s="22">
        <f t="shared" si="4"/>
        <v>597607</v>
      </c>
      <c r="F486" s="22">
        <f t="shared" si="4"/>
        <v>836615</v>
      </c>
      <c r="G486" s="22">
        <f t="shared" si="4"/>
        <v>358563</v>
      </c>
      <c r="H486" s="22">
        <f t="shared" si="4"/>
        <v>57000</v>
      </c>
      <c r="I486" s="22">
        <f t="shared" si="4"/>
        <v>142785</v>
      </c>
      <c r="J486" s="22">
        <f t="shared" si="4"/>
        <v>1210205</v>
      </c>
      <c r="K486" s="22">
        <f t="shared" si="4"/>
        <v>1570982</v>
      </c>
      <c r="L486" s="22">
        <f t="shared" si="4"/>
        <v>10380.5</v>
      </c>
      <c r="M486" s="22">
        <f t="shared" si="4"/>
        <v>797856.52</v>
      </c>
      <c r="N486" s="22">
        <f t="shared" si="4"/>
        <v>23000</v>
      </c>
      <c r="O486" s="22">
        <f t="shared" si="4"/>
        <v>688535</v>
      </c>
      <c r="P486" s="22">
        <f t="shared" si="4"/>
        <v>57000</v>
      </c>
      <c r="Q486" s="22">
        <f t="shared" si="4"/>
        <v>39570.5</v>
      </c>
      <c r="R486" s="22">
        <f t="shared" si="4"/>
        <v>1980</v>
      </c>
      <c r="S486" s="22">
        <f t="shared" si="4"/>
        <v>8564</v>
      </c>
      <c r="T486" s="22">
        <f t="shared" si="4"/>
        <v>510</v>
      </c>
      <c r="U486" s="22">
        <f t="shared" si="4"/>
        <v>2209</v>
      </c>
      <c r="V486" s="22">
        <f t="shared" si="4"/>
        <v>688025</v>
      </c>
      <c r="W486" s="22">
        <f t="shared" si="4"/>
        <v>7545174.4199999999</v>
      </c>
      <c r="X486" s="22">
        <f t="shared" si="4"/>
        <v>33500</v>
      </c>
      <c r="Y486" s="22">
        <f t="shared" si="4"/>
        <v>251.25</v>
      </c>
      <c r="Z486" s="22">
        <f t="shared" si="4"/>
        <v>1088.75</v>
      </c>
      <c r="AA486" s="22">
        <f t="shared" si="4"/>
        <v>32411.25</v>
      </c>
      <c r="AB486" s="22">
        <f t="shared" si="4"/>
        <v>2000</v>
      </c>
      <c r="AC486" s="22">
        <f t="shared" si="4"/>
        <v>3259569</v>
      </c>
      <c r="AD486" s="22">
        <f t="shared" si="4"/>
        <v>1491990</v>
      </c>
      <c r="AE486" s="22">
        <f t="shared" si="4"/>
        <v>1490010</v>
      </c>
      <c r="AF486" s="22">
        <f t="shared" si="4"/>
        <v>15210865</v>
      </c>
      <c r="AG486" s="22">
        <f t="shared" si="4"/>
        <v>905420</v>
      </c>
      <c r="AH486" s="22">
        <f t="shared" si="4"/>
        <v>11833</v>
      </c>
      <c r="AI486" s="22">
        <f t="shared" si="4"/>
        <v>87970</v>
      </c>
      <c r="AJ486" s="22">
        <f t="shared" si="4"/>
        <v>90647</v>
      </c>
      <c r="AK486" s="22">
        <f t="shared" si="4"/>
        <v>205745</v>
      </c>
      <c r="AL486" s="22">
        <f t="shared" si="4"/>
        <v>26889</v>
      </c>
      <c r="AM486" s="22">
        <f t="shared" si="4"/>
        <v>0</v>
      </c>
      <c r="AN486" s="22">
        <f t="shared" si="4"/>
        <v>2300</v>
      </c>
      <c r="AO486" s="22">
        <f t="shared" si="4"/>
        <v>1330804</v>
      </c>
      <c r="AP486" s="22">
        <f t="shared" si="4"/>
        <v>13880061</v>
      </c>
      <c r="AQ486" s="20">
        <f t="shared" si="4"/>
        <v>450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Bhuvana</cp:lastModifiedBy>
  <dcterms:created xsi:type="dcterms:W3CDTF">2026-04-20T06:21:28Z</dcterms:created>
  <dcterms:modified xsi:type="dcterms:W3CDTF">2026-07-26T09:39:18Z</dcterms:modified>
</cp:coreProperties>
</file>