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 firstSheet="1" activeTab="2"/>
  </bookViews>
  <sheets>
    <sheet name="Form 21 - IF" sheetId="3" state="hidden" r:id="rId1"/>
    <sheet name="Form 2 - PSA" sheetId="5" r:id="rId2"/>
    <sheet name="Form 2 - CPSW" sheetId="4" r:id="rId3"/>
    <sheet name="Confirmation List" sheetId="8" r:id="rId4"/>
    <sheet name="Days Calculation" sheetId="1" r:id="rId5"/>
    <sheet name="Employees Calculation" sheetId="2" r:id="rId6"/>
  </sheets>
  <calcPr calcId="162913"/>
</workbook>
</file>

<file path=xl/calcChain.xml><?xml version="1.0" encoding="utf-8"?>
<calcChain xmlns="http://schemas.openxmlformats.org/spreadsheetml/2006/main">
  <c r="C11" i="2" l="1"/>
  <c r="C12" i="2" l="1"/>
  <c r="G9" i="1" l="1"/>
  <c r="F4" i="2" l="1"/>
  <c r="F5" i="2" s="1"/>
  <c r="F6" i="2" s="1"/>
  <c r="F7" i="2" s="1"/>
  <c r="F8" i="2" s="1"/>
  <c r="F3" i="2"/>
  <c r="F8" i="1"/>
  <c r="H8" i="1" s="1"/>
  <c r="J8" i="1" s="1"/>
  <c r="F7" i="1"/>
  <c r="H7" i="1" s="1"/>
  <c r="J7" i="1" s="1"/>
  <c r="F6" i="1"/>
  <c r="H6" i="1" s="1"/>
  <c r="J6" i="1" s="1"/>
  <c r="F5" i="1"/>
  <c r="H5" i="1" s="1"/>
  <c r="J5" i="1" s="1"/>
  <c r="F4" i="1"/>
  <c r="H4" i="1" s="1"/>
  <c r="J4" i="1" s="1"/>
  <c r="F3" i="1"/>
  <c r="F9" i="1" l="1"/>
  <c r="H3" i="1"/>
  <c r="H9" i="1" s="1"/>
  <c r="H10" i="1" s="1"/>
  <c r="H12" i="1" s="1"/>
  <c r="J9" i="1"/>
  <c r="J10" i="1" s="1"/>
  <c r="J12" i="1" s="1"/>
  <c r="J13" i="1" s="1"/>
  <c r="K13" i="1" s="1"/>
  <c r="L13" i="1" s="1"/>
  <c r="L14" i="1" s="1"/>
</calcChain>
</file>

<file path=xl/sharedStrings.xml><?xml version="1.0" encoding="utf-8"?>
<sst xmlns="http://schemas.openxmlformats.org/spreadsheetml/2006/main" count="272" uniqueCount="172">
  <si>
    <t>Sl.No</t>
  </si>
  <si>
    <t>Month</t>
  </si>
  <si>
    <t>Total Days</t>
  </si>
  <si>
    <t>No. Of Sundays</t>
  </si>
  <si>
    <t>Holidays</t>
  </si>
  <si>
    <t>Strength of Employees</t>
  </si>
  <si>
    <t>Addition</t>
  </si>
  <si>
    <t>Deletion</t>
  </si>
  <si>
    <t>FORM NO.21</t>
  </si>
  <si>
    <t>The Factories Act 1948 and Tamil Nadu Factories Rules 1950</t>
  </si>
  <si>
    <t>(Prescribed under Sub-rule (1) of rule 100)</t>
  </si>
  <si>
    <t>Registration Number of the Factory</t>
  </si>
  <si>
    <t>:</t>
  </si>
  <si>
    <t>Name &amp; Address of the Factory</t>
  </si>
  <si>
    <t>Name &amp; Address of the Occupier</t>
  </si>
  <si>
    <t>Madurai - 625 001</t>
  </si>
  <si>
    <t>Name and address of the Manager</t>
  </si>
  <si>
    <t>Nature of Industry</t>
  </si>
  <si>
    <t>Number of days worked during the half-year</t>
  </si>
  <si>
    <t>Average number of workers employed daily</t>
  </si>
  <si>
    <t>ADULTS</t>
  </si>
  <si>
    <t>ADOLESCENTS</t>
  </si>
  <si>
    <t>CHILDREN</t>
  </si>
  <si>
    <t>Male</t>
  </si>
  <si>
    <t>Female</t>
  </si>
  <si>
    <t>Date of despatch of Return</t>
  </si>
  <si>
    <t>I certify that to the best of my knowledge and belief the above particulars are correct in every aspect.</t>
  </si>
  <si>
    <t>HALF YEARLY RETURN FOR THE HALF - YEAR ENDING 30 JUNE 2011</t>
  </si>
  <si>
    <t>MU 4147</t>
  </si>
  <si>
    <t>TVS Automobile Solutions Limited</t>
  </si>
  <si>
    <t>211, South veli street,</t>
  </si>
  <si>
    <t>Sri R Dinesh</t>
  </si>
  <si>
    <t>Director</t>
  </si>
  <si>
    <t>Sri M. Vijayakumar</t>
  </si>
  <si>
    <t>Manager - Works</t>
  </si>
  <si>
    <t>Automobile Service</t>
  </si>
  <si>
    <t>for TVS Automobile Solutions Limited</t>
  </si>
  <si>
    <t>M. VIJAYAKUMAR</t>
  </si>
  <si>
    <t>MANAGER - WORKS</t>
  </si>
  <si>
    <t>-</t>
  </si>
  <si>
    <t>Place: Madurai</t>
  </si>
  <si>
    <t>Form No: 2</t>
  </si>
  <si>
    <t>(See Rule-4)</t>
  </si>
  <si>
    <t>THE TAMILNADU PAYMENT OF SUBSISTENCE ALLOWANCE ACT, 1981</t>
  </si>
  <si>
    <t>AND RULES, 1981</t>
  </si>
  <si>
    <t>Registration Number</t>
  </si>
  <si>
    <t>RESIDENTIAL ADDRESS</t>
  </si>
  <si>
    <t>Serial Number</t>
  </si>
  <si>
    <t>NA</t>
  </si>
  <si>
    <t>Remarks</t>
  </si>
  <si>
    <t>NIL</t>
  </si>
  <si>
    <t>(See Sub Rule(3) under Rule 6)</t>
  </si>
  <si>
    <t>STATEMENT UNDER THE TAMILNADU INDUSTRIAL ESTABLISHMENTS</t>
  </si>
  <si>
    <t>(CONFERMENT OF PERMANENT STATUS TO WORKMEN) RULES, 1981</t>
  </si>
  <si>
    <t>Total number of workmen in the</t>
  </si>
  <si>
    <t>establishment</t>
  </si>
  <si>
    <t>Number of workmen shown in</t>
  </si>
  <si>
    <t>Form No.1</t>
  </si>
  <si>
    <t>Total number of working days in</t>
  </si>
  <si>
    <t>Reasons for the delay</t>
  </si>
  <si>
    <t>Remarks if any</t>
  </si>
  <si>
    <t>Form No. 2</t>
  </si>
  <si>
    <t>[See Sub-rule(3) under Rule (6)]</t>
  </si>
  <si>
    <t>Designation</t>
  </si>
  <si>
    <t xml:space="preserve">7B, TVS Building </t>
  </si>
  <si>
    <t>West veli street</t>
  </si>
  <si>
    <t>Date: 07/07/2011</t>
  </si>
  <si>
    <t>Total Manpower</t>
  </si>
  <si>
    <t>Trainee</t>
  </si>
  <si>
    <t>Chennai - 600058</t>
  </si>
  <si>
    <t>TVR/9353</t>
  </si>
  <si>
    <t>S/o K.U.Naidu</t>
  </si>
  <si>
    <t>Sri.G.Srinivasa Rao</t>
  </si>
  <si>
    <t>Place: Chennai</t>
  </si>
  <si>
    <t>For Item No. 7 &amp; 8</t>
  </si>
  <si>
    <t xml:space="preserve">200 Feet Bypass Road, </t>
  </si>
  <si>
    <t xml:space="preserve">Off - Poonamalle High Road, </t>
  </si>
  <si>
    <t>CEO</t>
  </si>
  <si>
    <t>Emp.Code</t>
  </si>
  <si>
    <t>KUN Aerospace Private Limited,</t>
  </si>
  <si>
    <t>Plot No. 22 &amp; 23, Ambattur Industrial Estate,</t>
  </si>
  <si>
    <t>Chennai - 600058.</t>
  </si>
  <si>
    <t>Name of the Establishment and Postal Address</t>
  </si>
  <si>
    <t>Sri.U.Venkatesh</t>
  </si>
  <si>
    <t>Name and Residential Address of the Employer</t>
  </si>
  <si>
    <t>including the Managing Agent / Managing</t>
  </si>
  <si>
    <t>Director / Incharge of the day to day affairs of</t>
  </si>
  <si>
    <t>or Association</t>
  </si>
  <si>
    <t>the establishment owned by a Body Corporate</t>
  </si>
  <si>
    <t xml:space="preserve">C-48, II Avenue, Anna Nagar East, </t>
  </si>
  <si>
    <t>Chennai - 600102</t>
  </si>
  <si>
    <t xml:space="preserve">No.73, Aspiran Garden, Kilpauk, </t>
  </si>
  <si>
    <t>KUN Arerospace Private Limited,</t>
  </si>
  <si>
    <t>Name and Address of the Employee kept under Suspension</t>
  </si>
  <si>
    <t>Monthly Emoluments (Wages) paid to the Employee</t>
  </si>
  <si>
    <t>Department in which the employee was Working last and his Designation</t>
  </si>
  <si>
    <t>Nature of Offence committed and the Date of Offence</t>
  </si>
  <si>
    <t>Date of Suspension</t>
  </si>
  <si>
    <t>Date of Commencement of Enquiry</t>
  </si>
  <si>
    <t>Date of Completion of Enquiry</t>
  </si>
  <si>
    <t>Date of Revocation of Suspension</t>
  </si>
  <si>
    <t>Rate at which Subsistence Allowance calculated and Period for which                                                calculation made</t>
  </si>
  <si>
    <t>Amount of Subsistence Allowance Paid and the Date of Payment</t>
  </si>
  <si>
    <t>Date of Issue of Final Orders regarding the Charges against the Employee</t>
  </si>
  <si>
    <t>Whether the Employee has been Exonerated or awarded any Punishment</t>
  </si>
  <si>
    <t>For KUN Aerospace Private Limited,</t>
  </si>
  <si>
    <t>HALF-YEARLY RETURN FOR THE HALF-YEAR ENDED 30th June 2025</t>
  </si>
  <si>
    <t>Name and Address of the Establishment</t>
  </si>
  <si>
    <t xml:space="preserve">Manufacturing of Aerospace Components </t>
  </si>
  <si>
    <t>Date of Commencement of Business</t>
  </si>
  <si>
    <t>Nature of the Industry</t>
  </si>
  <si>
    <t>the half-year ended 30/06/2025</t>
  </si>
  <si>
    <t>Number of Non-Permanent Workmen who</t>
  </si>
  <si>
    <t>have completed 480 days of Service</t>
  </si>
  <si>
    <t>Number of Workmen made Permanent</t>
  </si>
  <si>
    <t>during the Half-Year ended 30/06/2025</t>
  </si>
  <si>
    <t>Number of Workmen yet to be made</t>
  </si>
  <si>
    <t>Authorised Signatory</t>
  </si>
  <si>
    <t>Stock Closing</t>
  </si>
  <si>
    <t>Labour Day</t>
  </si>
  <si>
    <t>Pongal Festival</t>
  </si>
  <si>
    <t>Working Days Calculations</t>
  </si>
  <si>
    <t>Working Days Calculation</t>
  </si>
  <si>
    <t>Total No. Of Employees</t>
  </si>
  <si>
    <t>Permanent as on 30-06-2025</t>
  </si>
  <si>
    <t>For KUN Aerospace Pvt. Ltd.,</t>
  </si>
  <si>
    <t>Total No. Of Working Days</t>
  </si>
  <si>
    <t>Actual Man Days</t>
  </si>
  <si>
    <t>Leave Days</t>
  </si>
  <si>
    <t>Total Man Days</t>
  </si>
  <si>
    <t>SELVAM ELUMALAI</t>
  </si>
  <si>
    <t>SATHISHKUMAR MANI</t>
  </si>
  <si>
    <t>AJITH</t>
  </si>
  <si>
    <t>SUDHA K</t>
  </si>
  <si>
    <t>S SUMATHI</t>
  </si>
  <si>
    <t>B MOHANRAJ</t>
  </si>
  <si>
    <t>THERASA A</t>
  </si>
  <si>
    <t>DEEPAK</t>
  </si>
  <si>
    <t>J SARAVANAKARTHIKEYAN</t>
  </si>
  <si>
    <t>B MEGANATHAN</t>
  </si>
  <si>
    <t>LOKESH B</t>
  </si>
  <si>
    <t>VETRIVEL M B</t>
  </si>
  <si>
    <t>GADESH</t>
  </si>
  <si>
    <t>VALLARASU V</t>
  </si>
  <si>
    <t>RAJESH R</t>
  </si>
  <si>
    <t>PIRAMMANAYAGAM SANKAR</t>
  </si>
  <si>
    <t>PRAVEENKUMAR S</t>
  </si>
  <si>
    <t>BALAJI</t>
  </si>
  <si>
    <t>M KARAN KUMAR</t>
  </si>
  <si>
    <t>DINESH KUMAR V</t>
  </si>
  <si>
    <t>M TAMIL SELVAN</t>
  </si>
  <si>
    <t>PEER MOHAMMED MEERAN ABUB SIDDIQ</t>
  </si>
  <si>
    <t>MANIKANDAN</t>
  </si>
  <si>
    <t>CNC Operator</t>
  </si>
  <si>
    <t>Visual Inspector</t>
  </si>
  <si>
    <t>Engineer</t>
  </si>
  <si>
    <t>Jr.Engineer</t>
  </si>
  <si>
    <t>VMC Operator</t>
  </si>
  <si>
    <t>Scrap Machine Operator</t>
  </si>
  <si>
    <t>Employee Name</t>
  </si>
  <si>
    <t>Date: 31.07.2025</t>
  </si>
  <si>
    <t>List of Workmen - Confirmation for the Half-Year ending 30th June'2025</t>
  </si>
  <si>
    <t>Plot No. 22 &amp; 23, Ambattur Industrial Estate</t>
  </si>
  <si>
    <t xml:space="preserve">              Authorized Signatory</t>
  </si>
  <si>
    <t>HALF-YEARLY RETURN FOR THE HALF-YEAR ENDED 30th JUNE'2025</t>
  </si>
  <si>
    <t>Chennai - 600010.</t>
  </si>
  <si>
    <t>Plot No. 22 &amp; 23 , Ambattur Industrial Estate,</t>
  </si>
  <si>
    <t>Flat No. C1 401, KG Signature City Apartments,</t>
  </si>
  <si>
    <t>Connecting Maduravoyal to Ambattur,</t>
  </si>
  <si>
    <t>Adayalampattu, Chennai - 600095.</t>
  </si>
  <si>
    <t xml:space="preserve"> Authorized Signatory</t>
  </si>
  <si>
    <t>with CNC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</si>
</sst>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name val="Times New Roman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name val="Bookman Old Style"/>
      <family val="1"/>
    </font>
    <font>
      <sz val="10"/>
      <color theme="1"/>
      <name val="Bookman Old Style"/>
      <family val="1"/>
    </font>
    <font>
      <sz val="1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1" applyNumberFormat="0" applyFill="0" applyAlignment="0" applyProtection="0"/>
    <xf numFmtId="0" fontId="7" fillId="0" borderId="0"/>
    <xf numFmtId="0" fontId="7" fillId="0" borderId="0"/>
  </cellStyleXfs>
  <cellXfs count="1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0" fillId="0" borderId="0" xfId="0" applyFont="1"/>
    <xf numFmtId="1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 applyAlignment="1">
      <alignment horizontal="center" vertical="center"/>
    </xf>
    <xf numFmtId="17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10" fillId="0" borderId="5" xfId="0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6" xfId="0" applyFont="1" applyBorder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/>
    <xf numFmtId="0" fontId="16" fillId="0" borderId="0" xfId="0" applyFont="1" applyFill="1" applyAlignment="1">
      <alignment vertical="center"/>
    </xf>
    <xf numFmtId="49" fontId="16" fillId="0" borderId="0" xfId="0" applyNumberFormat="1" applyFont="1" applyFill="1" applyAlignment="1"/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2" borderId="2" xfId="2" applyFont="1" applyFill="1" applyBorder="1" applyAlignment="1">
      <alignment horizontal="center" vertical="center"/>
    </xf>
    <xf numFmtId="164" fontId="17" fillId="2" borderId="2" xfId="0" applyNumberFormat="1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8" fillId="0" borderId="2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9" fillId="0" borderId="2" xfId="0" applyFont="1" applyBorder="1"/>
    <xf numFmtId="0" fontId="19" fillId="0" borderId="0" xfId="0" applyFont="1" applyBorder="1"/>
    <xf numFmtId="0" fontId="8" fillId="2" borderId="0" xfId="2" applyFont="1" applyFill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quotePrefix="1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13" fillId="0" borderId="2" xfId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4">
    <cellStyle name="Heading 1" xfId="1" builtinId="16"/>
    <cellStyle name="Normal" xfId="0" builtinId="0"/>
    <cellStyle name="Normal 2" xfId="2"/>
    <cellStyle name="Normal 2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D9" sqref="D9:I9"/>
    </sheetView>
  </sheetViews>
  <sheetFormatPr defaultRowHeight="15.75" x14ac:dyDescent="0.25"/>
  <cols>
    <col min="1" max="1" width="5.140625" style="8" customWidth="1"/>
    <col min="2" max="2" width="34.28515625" style="10" customWidth="1"/>
    <col min="3" max="3" width="3.5703125" style="9" customWidth="1"/>
    <col min="4" max="9" width="8.7109375" style="7" customWidth="1"/>
    <col min="10" max="16384" width="9.140625" style="7"/>
  </cols>
  <sheetData>
    <row r="1" spans="1:9" x14ac:dyDescent="0.25">
      <c r="G1" s="85"/>
      <c r="H1" s="85"/>
      <c r="I1" s="85"/>
    </row>
    <row r="2" spans="1:9" ht="20.25" customHeight="1" x14ac:dyDescent="0.25">
      <c r="A2" s="86" t="s">
        <v>8</v>
      </c>
      <c r="B2" s="86"/>
      <c r="C2" s="86"/>
      <c r="D2" s="86"/>
      <c r="E2" s="86"/>
      <c r="F2" s="86"/>
      <c r="G2" s="86"/>
      <c r="H2" s="86"/>
      <c r="I2" s="86"/>
    </row>
    <row r="3" spans="1:9" ht="20.25" customHeight="1" x14ac:dyDescent="0.25">
      <c r="A3" s="85" t="s">
        <v>9</v>
      </c>
      <c r="B3" s="85"/>
      <c r="C3" s="85"/>
      <c r="D3" s="85"/>
      <c r="E3" s="85"/>
      <c r="F3" s="85"/>
      <c r="G3" s="85"/>
      <c r="H3" s="85"/>
      <c r="I3" s="85"/>
    </row>
    <row r="4" spans="1:9" ht="20.25" customHeight="1" x14ac:dyDescent="0.25">
      <c r="A4" s="85" t="s">
        <v>10</v>
      </c>
      <c r="B4" s="85"/>
      <c r="C4" s="85"/>
      <c r="D4" s="85"/>
      <c r="E4" s="85"/>
      <c r="F4" s="85"/>
      <c r="G4" s="85"/>
      <c r="H4" s="85"/>
      <c r="I4" s="85"/>
    </row>
    <row r="5" spans="1:9" ht="20.25" customHeight="1" x14ac:dyDescent="0.25">
      <c r="A5" s="85" t="s">
        <v>27</v>
      </c>
      <c r="B5" s="85"/>
      <c r="C5" s="85"/>
      <c r="D5" s="85"/>
      <c r="E5" s="85"/>
      <c r="F5" s="85"/>
      <c r="G5" s="85"/>
      <c r="H5" s="85"/>
      <c r="I5" s="85"/>
    </row>
    <row r="6" spans="1:9" x14ac:dyDescent="0.25">
      <c r="B6" s="8"/>
      <c r="D6" s="8"/>
      <c r="E6" s="8"/>
      <c r="F6" s="8"/>
      <c r="G6" s="8"/>
      <c r="H6" s="8"/>
      <c r="I6" s="8"/>
    </row>
    <row r="7" spans="1:9" ht="20.25" customHeight="1" x14ac:dyDescent="0.25">
      <c r="A7" s="8">
        <v>1</v>
      </c>
      <c r="B7" s="10" t="s">
        <v>11</v>
      </c>
      <c r="C7" s="11" t="s">
        <v>12</v>
      </c>
      <c r="D7" s="83" t="s">
        <v>28</v>
      </c>
      <c r="E7" s="83"/>
      <c r="F7" s="83"/>
      <c r="G7" s="83"/>
      <c r="H7" s="83"/>
      <c r="I7" s="83"/>
    </row>
    <row r="8" spans="1:9" ht="20.25" customHeight="1" x14ac:dyDescent="0.25">
      <c r="A8" s="8">
        <v>2</v>
      </c>
      <c r="B8" s="10" t="s">
        <v>13</v>
      </c>
      <c r="C8" s="11" t="s">
        <v>12</v>
      </c>
      <c r="D8" s="84" t="s">
        <v>29</v>
      </c>
      <c r="E8" s="84"/>
      <c r="F8" s="84"/>
      <c r="G8" s="84"/>
      <c r="H8" s="84"/>
      <c r="I8" s="84"/>
    </row>
    <row r="9" spans="1:9" ht="20.25" customHeight="1" x14ac:dyDescent="0.25">
      <c r="C9" s="11"/>
      <c r="D9" s="83" t="s">
        <v>30</v>
      </c>
      <c r="E9" s="83"/>
      <c r="F9" s="83"/>
      <c r="G9" s="83"/>
      <c r="H9" s="83"/>
      <c r="I9" s="83"/>
    </row>
    <row r="10" spans="1:9" ht="20.25" customHeight="1" x14ac:dyDescent="0.25">
      <c r="C10" s="11"/>
      <c r="D10" s="83" t="s">
        <v>15</v>
      </c>
      <c r="E10" s="83"/>
      <c r="F10" s="83"/>
      <c r="G10" s="83"/>
      <c r="H10" s="83"/>
      <c r="I10" s="83"/>
    </row>
    <row r="11" spans="1:9" ht="20.25" customHeight="1" x14ac:dyDescent="0.25">
      <c r="A11" s="8">
        <v>3</v>
      </c>
      <c r="B11" s="10" t="s">
        <v>14</v>
      </c>
      <c r="C11" s="11" t="s">
        <v>12</v>
      </c>
      <c r="D11" s="84" t="s">
        <v>31</v>
      </c>
      <c r="E11" s="84"/>
      <c r="F11" s="84"/>
      <c r="G11" s="84"/>
      <c r="H11" s="84"/>
      <c r="I11" s="84"/>
    </row>
    <row r="12" spans="1:9" ht="20.25" customHeight="1" x14ac:dyDescent="0.25">
      <c r="C12" s="11"/>
      <c r="D12" s="83" t="s">
        <v>32</v>
      </c>
      <c r="E12" s="83"/>
      <c r="F12" s="83"/>
      <c r="G12" s="83"/>
      <c r="H12" s="83"/>
      <c r="I12" s="83"/>
    </row>
    <row r="13" spans="1:9" ht="20.25" customHeight="1" x14ac:dyDescent="0.25">
      <c r="C13" s="11"/>
      <c r="D13" s="83" t="s">
        <v>29</v>
      </c>
      <c r="E13" s="83"/>
      <c r="F13" s="83"/>
      <c r="G13" s="83"/>
      <c r="H13" s="83"/>
      <c r="I13" s="83"/>
    </row>
    <row r="14" spans="1:9" ht="20.25" customHeight="1" x14ac:dyDescent="0.25">
      <c r="C14" s="11"/>
      <c r="D14" s="83" t="s">
        <v>64</v>
      </c>
      <c r="E14" s="83"/>
      <c r="F14" s="83"/>
      <c r="G14" s="83"/>
      <c r="H14" s="83"/>
      <c r="I14" s="83"/>
    </row>
    <row r="15" spans="1:9" ht="20.25" customHeight="1" x14ac:dyDescent="0.25">
      <c r="C15" s="11"/>
      <c r="D15" s="83" t="s">
        <v>65</v>
      </c>
      <c r="E15" s="83"/>
      <c r="F15" s="83"/>
      <c r="G15" s="83"/>
      <c r="H15" s="83"/>
      <c r="I15" s="83"/>
    </row>
    <row r="16" spans="1:9" ht="20.25" customHeight="1" x14ac:dyDescent="0.25">
      <c r="C16" s="11"/>
      <c r="D16" s="83" t="s">
        <v>15</v>
      </c>
      <c r="E16" s="83"/>
      <c r="F16" s="83"/>
      <c r="G16" s="83"/>
      <c r="H16" s="83"/>
      <c r="I16" s="83"/>
    </row>
    <row r="17" spans="1:9" ht="20.25" customHeight="1" x14ac:dyDescent="0.25">
      <c r="A17" s="8">
        <v>4</v>
      </c>
      <c r="B17" s="10" t="s">
        <v>16</v>
      </c>
      <c r="C17" s="11" t="s">
        <v>12</v>
      </c>
      <c r="D17" s="84" t="s">
        <v>33</v>
      </c>
      <c r="E17" s="84"/>
      <c r="F17" s="84"/>
      <c r="G17" s="84"/>
      <c r="H17" s="84"/>
      <c r="I17" s="84"/>
    </row>
    <row r="18" spans="1:9" ht="20.25" customHeight="1" x14ac:dyDescent="0.25">
      <c r="C18" s="11"/>
      <c r="D18" s="83" t="s">
        <v>34</v>
      </c>
      <c r="E18" s="83"/>
      <c r="F18" s="83"/>
      <c r="G18" s="83"/>
      <c r="H18" s="83"/>
      <c r="I18" s="83"/>
    </row>
    <row r="19" spans="1:9" ht="20.25" customHeight="1" x14ac:dyDescent="0.25">
      <c r="C19" s="11"/>
      <c r="D19" s="83" t="s">
        <v>29</v>
      </c>
      <c r="E19" s="83"/>
      <c r="F19" s="83"/>
      <c r="G19" s="83"/>
      <c r="H19" s="83"/>
      <c r="I19" s="83"/>
    </row>
    <row r="20" spans="1:9" ht="20.25" customHeight="1" x14ac:dyDescent="0.25">
      <c r="C20" s="11"/>
      <c r="D20" s="83" t="s">
        <v>30</v>
      </c>
      <c r="E20" s="83"/>
      <c r="F20" s="83"/>
      <c r="G20" s="83"/>
      <c r="H20" s="83"/>
      <c r="I20" s="83"/>
    </row>
    <row r="21" spans="1:9" ht="20.25" customHeight="1" x14ac:dyDescent="0.25">
      <c r="C21" s="11"/>
      <c r="D21" s="83" t="s">
        <v>15</v>
      </c>
      <c r="E21" s="83"/>
      <c r="F21" s="83"/>
      <c r="G21" s="83"/>
      <c r="H21" s="83"/>
      <c r="I21" s="83"/>
    </row>
    <row r="22" spans="1:9" ht="20.25" customHeight="1" x14ac:dyDescent="0.25">
      <c r="A22" s="8">
        <v>5</v>
      </c>
      <c r="B22" s="10" t="s">
        <v>17</v>
      </c>
      <c r="C22" s="11" t="s">
        <v>12</v>
      </c>
      <c r="D22" s="83" t="s">
        <v>35</v>
      </c>
      <c r="E22" s="83"/>
      <c r="F22" s="83"/>
      <c r="G22" s="83"/>
      <c r="H22" s="83"/>
      <c r="I22" s="83"/>
    </row>
    <row r="23" spans="1:9" ht="36" customHeight="1" x14ac:dyDescent="0.25">
      <c r="A23" s="8">
        <v>6</v>
      </c>
      <c r="B23" s="10" t="s">
        <v>18</v>
      </c>
      <c r="C23" s="11" t="s">
        <v>12</v>
      </c>
      <c r="D23" s="83">
        <v>127</v>
      </c>
      <c r="E23" s="83"/>
      <c r="F23" s="83"/>
      <c r="G23" s="83"/>
      <c r="H23" s="83"/>
      <c r="I23" s="83"/>
    </row>
    <row r="24" spans="1:9" ht="35.25" customHeight="1" x14ac:dyDescent="0.25">
      <c r="A24" s="8">
        <v>7</v>
      </c>
      <c r="B24" s="10" t="s">
        <v>19</v>
      </c>
      <c r="C24" s="11" t="s">
        <v>12</v>
      </c>
      <c r="D24" s="83">
        <v>34</v>
      </c>
      <c r="E24" s="83"/>
      <c r="F24" s="83"/>
      <c r="G24" s="83"/>
      <c r="H24" s="83"/>
      <c r="I24" s="83"/>
    </row>
    <row r="25" spans="1:9" ht="20.25" customHeight="1" x14ac:dyDescent="0.25">
      <c r="D25" s="86" t="s">
        <v>20</v>
      </c>
      <c r="E25" s="86"/>
      <c r="F25" s="86" t="s">
        <v>21</v>
      </c>
      <c r="G25" s="86"/>
      <c r="H25" s="86" t="s">
        <v>22</v>
      </c>
      <c r="I25" s="86"/>
    </row>
    <row r="26" spans="1:9" ht="20.25" customHeight="1" x14ac:dyDescent="0.25">
      <c r="D26" s="8" t="s">
        <v>23</v>
      </c>
      <c r="E26" s="8" t="s">
        <v>24</v>
      </c>
      <c r="F26" s="8" t="s">
        <v>23</v>
      </c>
      <c r="G26" s="8" t="s">
        <v>24</v>
      </c>
      <c r="H26" s="8" t="s">
        <v>23</v>
      </c>
      <c r="I26" s="8" t="s">
        <v>24</v>
      </c>
    </row>
    <row r="27" spans="1:9" ht="20.25" customHeight="1" x14ac:dyDescent="0.25">
      <c r="D27" s="12">
        <v>34</v>
      </c>
      <c r="E27" s="13" t="s">
        <v>39</v>
      </c>
      <c r="F27" s="13" t="s">
        <v>39</v>
      </c>
      <c r="G27" s="13" t="s">
        <v>39</v>
      </c>
      <c r="H27" s="13" t="s">
        <v>39</v>
      </c>
      <c r="I27" s="13" t="s">
        <v>39</v>
      </c>
    </row>
    <row r="28" spans="1:9" ht="20.25" customHeight="1" x14ac:dyDescent="0.25">
      <c r="D28" s="8"/>
      <c r="E28" s="8"/>
      <c r="F28" s="8"/>
      <c r="G28" s="8"/>
      <c r="H28" s="8"/>
      <c r="I28" s="8"/>
    </row>
    <row r="29" spans="1:9" ht="20.25" customHeight="1" x14ac:dyDescent="0.25">
      <c r="A29" s="8">
        <v>8</v>
      </c>
      <c r="B29" s="10" t="s">
        <v>25</v>
      </c>
      <c r="C29" s="11" t="s">
        <v>12</v>
      </c>
      <c r="D29" s="87">
        <v>40731</v>
      </c>
      <c r="E29" s="88"/>
      <c r="F29" s="88"/>
      <c r="G29" s="88"/>
      <c r="H29" s="88"/>
      <c r="I29" s="88"/>
    </row>
    <row r="30" spans="1:9" ht="20.25" customHeight="1" x14ac:dyDescent="0.25"/>
    <row r="31" spans="1:9" ht="20.25" customHeight="1" x14ac:dyDescent="0.25">
      <c r="A31" s="9" t="s">
        <v>26</v>
      </c>
    </row>
    <row r="32" spans="1:9" ht="20.25" customHeight="1" x14ac:dyDescent="0.25"/>
    <row r="33" spans="1:9" x14ac:dyDescent="0.25">
      <c r="A33" s="83" t="s">
        <v>40</v>
      </c>
      <c r="B33" s="83"/>
      <c r="C33" s="86" t="s">
        <v>36</v>
      </c>
      <c r="D33" s="86"/>
      <c r="E33" s="86"/>
      <c r="F33" s="86"/>
      <c r="G33" s="86"/>
      <c r="H33" s="86"/>
      <c r="I33" s="86"/>
    </row>
    <row r="34" spans="1:9" x14ac:dyDescent="0.25">
      <c r="A34" s="7"/>
      <c r="B34" s="7"/>
      <c r="C34" s="11"/>
      <c r="D34" s="14"/>
      <c r="E34" s="14"/>
      <c r="F34" s="14"/>
      <c r="G34" s="14"/>
      <c r="H34" s="14"/>
      <c r="I34" s="14"/>
    </row>
    <row r="35" spans="1:9" x14ac:dyDescent="0.25">
      <c r="A35" s="83" t="s">
        <v>66</v>
      </c>
      <c r="B35" s="83"/>
      <c r="C35" s="11"/>
      <c r="D35" s="14"/>
      <c r="E35" s="14"/>
      <c r="F35" s="14"/>
      <c r="G35" s="14"/>
      <c r="H35" s="14"/>
      <c r="I35" s="14"/>
    </row>
    <row r="36" spans="1:9" x14ac:dyDescent="0.25">
      <c r="A36" s="9"/>
      <c r="B36" s="9"/>
      <c r="C36" s="11"/>
      <c r="D36" s="14"/>
      <c r="E36" s="14"/>
      <c r="F36" s="14"/>
      <c r="G36" s="14"/>
      <c r="H36" s="14"/>
      <c r="I36" s="14"/>
    </row>
    <row r="37" spans="1:9" x14ac:dyDescent="0.25">
      <c r="C37" s="11"/>
      <c r="D37" s="14"/>
      <c r="E37" s="14"/>
      <c r="F37" s="14"/>
      <c r="G37" s="14"/>
      <c r="H37" s="14"/>
      <c r="I37" s="14"/>
    </row>
    <row r="38" spans="1:9" x14ac:dyDescent="0.25">
      <c r="C38" s="86" t="s">
        <v>37</v>
      </c>
      <c r="D38" s="86"/>
      <c r="E38" s="86"/>
      <c r="F38" s="86"/>
      <c r="G38" s="86"/>
      <c r="H38" s="86"/>
      <c r="I38" s="86"/>
    </row>
    <row r="39" spans="1:9" x14ac:dyDescent="0.25">
      <c r="A39" s="7"/>
      <c r="B39" s="7"/>
      <c r="C39" s="86" t="s">
        <v>38</v>
      </c>
      <c r="D39" s="86"/>
      <c r="E39" s="86"/>
      <c r="F39" s="86"/>
      <c r="G39" s="86"/>
      <c r="H39" s="86"/>
      <c r="I39" s="86"/>
    </row>
    <row r="40" spans="1:9" x14ac:dyDescent="0.25">
      <c r="A40" s="7"/>
      <c r="B40" s="7"/>
      <c r="C40" s="85"/>
      <c r="D40" s="85"/>
      <c r="E40" s="85"/>
      <c r="F40" s="85"/>
      <c r="G40" s="85"/>
      <c r="H40" s="85"/>
      <c r="I40" s="85"/>
    </row>
    <row r="41" spans="1:9" ht="15" customHeight="1" x14ac:dyDescent="0.25">
      <c r="A41" s="7"/>
      <c r="B41" s="7"/>
      <c r="C41" s="85"/>
      <c r="D41" s="85"/>
      <c r="E41" s="85"/>
      <c r="F41" s="85"/>
      <c r="G41" s="85"/>
      <c r="H41" s="85"/>
      <c r="I41" s="85"/>
    </row>
    <row r="42" spans="1:9" ht="20.25" customHeight="1" x14ac:dyDescent="0.25">
      <c r="A42" s="7"/>
      <c r="B42" s="7"/>
    </row>
    <row r="43" spans="1:9" x14ac:dyDescent="0.25">
      <c r="A43" s="7"/>
      <c r="B43" s="7"/>
    </row>
  </sheetData>
  <mergeCells count="34">
    <mergeCell ref="A35:B35"/>
    <mergeCell ref="D18:I18"/>
    <mergeCell ref="D19:I19"/>
    <mergeCell ref="D20:I20"/>
    <mergeCell ref="D21:I21"/>
    <mergeCell ref="D22:I22"/>
    <mergeCell ref="A33:B33"/>
    <mergeCell ref="D24:I24"/>
    <mergeCell ref="D23:I23"/>
    <mergeCell ref="C39:I39"/>
    <mergeCell ref="C40:I40"/>
    <mergeCell ref="C41:I41"/>
    <mergeCell ref="D7:I7"/>
    <mergeCell ref="D8:I8"/>
    <mergeCell ref="D9:I9"/>
    <mergeCell ref="D10:I10"/>
    <mergeCell ref="D11:I11"/>
    <mergeCell ref="D12:I12"/>
    <mergeCell ref="D13:I13"/>
    <mergeCell ref="D25:E25"/>
    <mergeCell ref="F25:G25"/>
    <mergeCell ref="H25:I25"/>
    <mergeCell ref="D29:I29"/>
    <mergeCell ref="C33:I33"/>
    <mergeCell ref="C38:I38"/>
    <mergeCell ref="D14:I14"/>
    <mergeCell ref="D15:I15"/>
    <mergeCell ref="D16:I16"/>
    <mergeCell ref="D17:I17"/>
    <mergeCell ref="G1:I1"/>
    <mergeCell ref="A2:I2"/>
    <mergeCell ref="A3:I3"/>
    <mergeCell ref="A4:I4"/>
    <mergeCell ref="A5:I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9" workbookViewId="0">
      <selection activeCell="K33" sqref="K33"/>
    </sheetView>
  </sheetViews>
  <sheetFormatPr defaultRowHeight="15" x14ac:dyDescent="0.25"/>
  <cols>
    <col min="1" max="1" width="9.140625" style="6"/>
    <col min="2" max="2" width="5.5703125" style="6" customWidth="1"/>
    <col min="3" max="3" width="38.7109375" style="6" customWidth="1"/>
    <col min="4" max="4" width="2.7109375" style="6" customWidth="1"/>
    <col min="5" max="5" width="9.140625" style="6"/>
    <col min="6" max="6" width="23.7109375" style="6" customWidth="1"/>
    <col min="7" max="7" width="3.5703125" style="6" customWidth="1"/>
    <col min="8" max="8" width="9.140625" style="25" customWidth="1"/>
    <col min="9" max="16384" width="9.140625" style="6"/>
  </cols>
  <sheetData>
    <row r="1" spans="1:11" x14ac:dyDescent="0.25">
      <c r="B1" s="91" t="s">
        <v>61</v>
      </c>
      <c r="C1" s="91"/>
      <c r="D1" s="91"/>
      <c r="E1" s="91"/>
      <c r="F1" s="91"/>
      <c r="G1" s="91"/>
      <c r="H1" s="91"/>
      <c r="I1" s="4"/>
    </row>
    <row r="2" spans="1:11" x14ac:dyDescent="0.25">
      <c r="B2" s="91" t="s">
        <v>42</v>
      </c>
      <c r="C2" s="91"/>
      <c r="D2" s="91"/>
      <c r="E2" s="91"/>
      <c r="F2" s="91"/>
      <c r="G2" s="91"/>
      <c r="H2" s="91"/>
      <c r="I2" s="5"/>
    </row>
    <row r="3" spans="1:11" x14ac:dyDescent="0.25">
      <c r="B3" s="91" t="s">
        <v>43</v>
      </c>
      <c r="C3" s="91"/>
      <c r="D3" s="91"/>
      <c r="E3" s="91"/>
      <c r="F3" s="91"/>
      <c r="G3" s="91"/>
      <c r="H3" s="91"/>
      <c r="I3" s="5"/>
    </row>
    <row r="4" spans="1:11" x14ac:dyDescent="0.25">
      <c r="B4" s="91" t="s">
        <v>44</v>
      </c>
      <c r="C4" s="91"/>
      <c r="D4" s="91"/>
      <c r="E4" s="91"/>
      <c r="F4" s="91"/>
      <c r="G4" s="91"/>
      <c r="H4" s="91"/>
      <c r="I4" s="5"/>
    </row>
    <row r="5" spans="1:11" ht="15" customHeight="1" x14ac:dyDescent="0.25">
      <c r="B5" s="91" t="s">
        <v>164</v>
      </c>
      <c r="C5" s="91"/>
      <c r="D5" s="91"/>
      <c r="E5" s="91"/>
      <c r="F5" s="91"/>
      <c r="G5" s="91"/>
      <c r="H5" s="91"/>
      <c r="I5" s="5"/>
    </row>
    <row r="6" spans="1:11" ht="15" customHeight="1" x14ac:dyDescent="0.25">
      <c r="B6" s="77"/>
      <c r="C6" s="77"/>
      <c r="D6" s="77"/>
      <c r="E6" s="77"/>
      <c r="F6" s="77"/>
      <c r="G6" s="77"/>
      <c r="H6" s="77"/>
      <c r="I6" s="77"/>
    </row>
    <row r="7" spans="1:11" x14ac:dyDescent="0.25">
      <c r="A7" s="6">
        <v>1</v>
      </c>
      <c r="B7" s="89" t="s">
        <v>82</v>
      </c>
      <c r="C7" s="89"/>
      <c r="D7" s="4" t="s">
        <v>12</v>
      </c>
      <c r="E7" s="90" t="s">
        <v>79</v>
      </c>
      <c r="F7" s="90"/>
      <c r="G7" s="90"/>
      <c r="H7" s="90"/>
      <c r="I7" s="4"/>
      <c r="J7" s="4"/>
    </row>
    <row r="8" spans="1:11" x14ac:dyDescent="0.25">
      <c r="B8" s="2"/>
      <c r="C8" s="2"/>
      <c r="D8" s="4"/>
      <c r="E8" s="89" t="s">
        <v>80</v>
      </c>
      <c r="F8" s="89"/>
      <c r="G8" s="89"/>
      <c r="H8" s="89"/>
      <c r="I8" s="4"/>
      <c r="J8" s="4"/>
    </row>
    <row r="9" spans="1:11" x14ac:dyDescent="0.25">
      <c r="B9" s="2"/>
      <c r="C9" s="2"/>
      <c r="D9" s="4"/>
      <c r="E9" s="89" t="s">
        <v>81</v>
      </c>
      <c r="F9" s="89"/>
      <c r="G9" s="89"/>
      <c r="H9" s="89"/>
      <c r="I9" s="4"/>
      <c r="J9" s="4"/>
    </row>
    <row r="10" spans="1:11" ht="15" customHeight="1" x14ac:dyDescent="0.25">
      <c r="A10" s="6">
        <v>2</v>
      </c>
      <c r="B10" s="89" t="s">
        <v>45</v>
      </c>
      <c r="C10" s="89"/>
      <c r="D10" s="4" t="s">
        <v>12</v>
      </c>
      <c r="E10" s="90" t="s">
        <v>70</v>
      </c>
      <c r="F10" s="90"/>
      <c r="G10" s="90"/>
      <c r="H10" s="90"/>
      <c r="I10" s="2"/>
      <c r="J10" s="2"/>
    </row>
    <row r="11" spans="1:11" x14ac:dyDescent="0.25">
      <c r="A11" s="6">
        <v>3</v>
      </c>
      <c r="B11" s="89" t="s">
        <v>84</v>
      </c>
      <c r="C11" s="89"/>
      <c r="D11" s="4" t="s">
        <v>12</v>
      </c>
      <c r="E11" s="90" t="s">
        <v>83</v>
      </c>
      <c r="F11" s="90"/>
      <c r="G11" s="90"/>
      <c r="H11" s="90"/>
      <c r="I11" s="2"/>
    </row>
    <row r="12" spans="1:11" x14ac:dyDescent="0.25">
      <c r="B12" s="89" t="s">
        <v>85</v>
      </c>
      <c r="C12" s="89"/>
      <c r="D12" s="4"/>
      <c r="E12" s="89" t="s">
        <v>71</v>
      </c>
      <c r="F12" s="89"/>
      <c r="G12" s="89"/>
      <c r="H12" s="89"/>
      <c r="I12" s="2"/>
    </row>
    <row r="13" spans="1:11" x14ac:dyDescent="0.25">
      <c r="B13" s="89" t="s">
        <v>86</v>
      </c>
      <c r="C13" s="89"/>
      <c r="D13" s="4"/>
      <c r="E13" s="90" t="s">
        <v>32</v>
      </c>
      <c r="F13" s="90"/>
      <c r="G13" s="90"/>
      <c r="H13" s="90"/>
      <c r="I13" s="2"/>
    </row>
    <row r="14" spans="1:11" x14ac:dyDescent="0.25">
      <c r="B14" s="89" t="s">
        <v>88</v>
      </c>
      <c r="C14" s="89"/>
      <c r="D14" s="4"/>
      <c r="E14" s="90" t="s">
        <v>92</v>
      </c>
      <c r="F14" s="90"/>
      <c r="G14" s="90"/>
      <c r="H14" s="90"/>
      <c r="I14" s="2"/>
      <c r="J14" s="2"/>
      <c r="K14" s="2"/>
    </row>
    <row r="15" spans="1:11" x14ac:dyDescent="0.25">
      <c r="B15" s="89" t="s">
        <v>87</v>
      </c>
      <c r="C15" s="89"/>
      <c r="D15" s="4"/>
      <c r="E15" s="89" t="s">
        <v>89</v>
      </c>
      <c r="F15" s="89"/>
      <c r="G15" s="89"/>
      <c r="H15" s="89"/>
      <c r="I15" s="89"/>
      <c r="J15" s="89"/>
      <c r="K15" s="89"/>
    </row>
    <row r="16" spans="1:11" x14ac:dyDescent="0.25">
      <c r="B16" s="3"/>
      <c r="C16" s="2"/>
      <c r="D16" s="4"/>
      <c r="E16" s="89" t="s">
        <v>90</v>
      </c>
      <c r="F16" s="89"/>
      <c r="G16" s="89"/>
      <c r="H16" s="89"/>
      <c r="I16" s="89"/>
      <c r="J16" s="89"/>
      <c r="K16" s="89"/>
    </row>
    <row r="17" spans="1:10" x14ac:dyDescent="0.25">
      <c r="B17" s="3"/>
      <c r="C17" s="2"/>
      <c r="D17" s="4"/>
      <c r="E17" s="94" t="s">
        <v>46</v>
      </c>
      <c r="F17" s="94"/>
      <c r="G17" s="94"/>
      <c r="H17" s="94"/>
      <c r="I17" s="2"/>
    </row>
    <row r="18" spans="1:10" x14ac:dyDescent="0.25">
      <c r="B18" s="3"/>
      <c r="C18" s="2"/>
      <c r="D18" s="4"/>
      <c r="E18" s="95" t="s">
        <v>91</v>
      </c>
      <c r="F18" s="95"/>
      <c r="G18" s="95"/>
      <c r="H18" s="95"/>
      <c r="I18" s="2"/>
    </row>
    <row r="19" spans="1:10" x14ac:dyDescent="0.25">
      <c r="B19" s="3"/>
      <c r="C19" s="2"/>
      <c r="D19" s="4"/>
      <c r="E19" s="95" t="s">
        <v>165</v>
      </c>
      <c r="F19" s="95"/>
      <c r="G19" s="95"/>
      <c r="H19" s="95"/>
      <c r="I19" s="2"/>
    </row>
    <row r="20" spans="1:10" x14ac:dyDescent="0.25">
      <c r="A20" s="6">
        <v>4</v>
      </c>
      <c r="B20" s="3"/>
      <c r="C20" s="2"/>
      <c r="D20" s="2" t="s">
        <v>12</v>
      </c>
      <c r="E20" s="90" t="s">
        <v>72</v>
      </c>
      <c r="F20" s="90"/>
      <c r="G20" s="90"/>
      <c r="H20" s="90"/>
      <c r="I20" s="2"/>
    </row>
    <row r="21" spans="1:10" x14ac:dyDescent="0.25">
      <c r="B21" s="3"/>
      <c r="C21" s="2"/>
      <c r="D21" s="2"/>
      <c r="E21" s="90" t="s">
        <v>77</v>
      </c>
      <c r="F21" s="90"/>
      <c r="G21" s="90"/>
      <c r="H21" s="90"/>
      <c r="I21" s="2"/>
    </row>
    <row r="22" spans="1:10" x14ac:dyDescent="0.25">
      <c r="B22" s="3"/>
      <c r="C22" s="2"/>
      <c r="D22" s="2"/>
      <c r="E22" s="90" t="s">
        <v>79</v>
      </c>
      <c r="F22" s="90"/>
      <c r="G22" s="90"/>
      <c r="H22" s="90"/>
      <c r="I22" s="2"/>
    </row>
    <row r="23" spans="1:10" x14ac:dyDescent="0.25">
      <c r="B23" s="3"/>
      <c r="C23" s="2"/>
      <c r="D23" s="2"/>
      <c r="E23" s="89" t="s">
        <v>166</v>
      </c>
      <c r="F23" s="89"/>
      <c r="G23" s="89"/>
      <c r="H23" s="89"/>
      <c r="I23" s="2"/>
      <c r="J23" s="17"/>
    </row>
    <row r="24" spans="1:10" x14ac:dyDescent="0.25">
      <c r="B24" s="27"/>
      <c r="C24" s="2"/>
      <c r="D24" s="2"/>
      <c r="E24" s="89" t="s">
        <v>81</v>
      </c>
      <c r="F24" s="89"/>
      <c r="G24" s="89"/>
      <c r="H24" s="89"/>
      <c r="I24" s="2"/>
      <c r="J24" s="17"/>
    </row>
    <row r="25" spans="1:10" x14ac:dyDescent="0.25">
      <c r="B25" s="3"/>
      <c r="C25" s="2"/>
      <c r="D25" s="2"/>
      <c r="E25" s="94" t="s">
        <v>46</v>
      </c>
      <c r="F25" s="94"/>
      <c r="G25" s="94"/>
      <c r="H25" s="94"/>
      <c r="I25" s="2"/>
    </row>
    <row r="26" spans="1:10" ht="15.75" x14ac:dyDescent="0.25">
      <c r="B26" s="27"/>
      <c r="C26" s="2"/>
      <c r="D26" s="2"/>
      <c r="E26" s="83" t="s">
        <v>167</v>
      </c>
      <c r="F26" s="83"/>
      <c r="G26" s="83"/>
      <c r="H26" s="83"/>
      <c r="I26" s="7"/>
      <c r="J26" s="7"/>
    </row>
    <row r="27" spans="1:10" ht="15.75" x14ac:dyDescent="0.25">
      <c r="B27" s="27"/>
      <c r="C27" s="2"/>
      <c r="D27" s="2"/>
      <c r="E27" s="93" t="s">
        <v>75</v>
      </c>
      <c r="F27" s="93"/>
      <c r="G27" s="93"/>
      <c r="H27" s="93"/>
      <c r="I27" s="30"/>
      <c r="J27" s="30"/>
    </row>
    <row r="28" spans="1:10" x14ac:dyDescent="0.25">
      <c r="B28" s="31"/>
      <c r="C28" s="2"/>
      <c r="D28" s="2"/>
      <c r="E28" s="93" t="s">
        <v>168</v>
      </c>
      <c r="F28" s="93"/>
      <c r="G28" s="93"/>
      <c r="H28" s="93"/>
      <c r="I28" s="78"/>
      <c r="J28" s="78"/>
    </row>
    <row r="29" spans="1:10" x14ac:dyDescent="0.25">
      <c r="B29" s="31"/>
      <c r="C29" s="2"/>
      <c r="D29" s="2"/>
      <c r="E29" s="93" t="s">
        <v>76</v>
      </c>
      <c r="F29" s="93"/>
      <c r="G29" s="93"/>
      <c r="H29" s="93"/>
      <c r="I29" s="78"/>
      <c r="J29" s="78"/>
    </row>
    <row r="30" spans="1:10" ht="15.75" x14ac:dyDescent="0.25">
      <c r="B30" s="31"/>
      <c r="C30" s="2"/>
      <c r="D30" s="2"/>
      <c r="E30" s="93" t="s">
        <v>169</v>
      </c>
      <c r="F30" s="93"/>
      <c r="G30" s="93"/>
      <c r="H30" s="93"/>
      <c r="I30" s="30"/>
      <c r="J30" s="30"/>
    </row>
    <row r="31" spans="1:10" x14ac:dyDescent="0.25">
      <c r="B31" s="18">
        <v>1</v>
      </c>
      <c r="C31" s="92" t="s">
        <v>47</v>
      </c>
      <c r="D31" s="92"/>
      <c r="E31" s="92"/>
      <c r="F31" s="92"/>
      <c r="G31" s="19" t="s">
        <v>12</v>
      </c>
      <c r="H31" s="20" t="s">
        <v>50</v>
      </c>
      <c r="I31" s="21"/>
      <c r="J31" s="22"/>
    </row>
    <row r="32" spans="1:10" ht="15" customHeight="1" x14ac:dyDescent="0.25">
      <c r="B32" s="18">
        <v>2</v>
      </c>
      <c r="C32" s="92" t="s">
        <v>93</v>
      </c>
      <c r="D32" s="92"/>
      <c r="E32" s="92"/>
      <c r="F32" s="92"/>
      <c r="G32" s="19" t="s">
        <v>12</v>
      </c>
      <c r="H32" s="19" t="s">
        <v>50</v>
      </c>
      <c r="I32" s="23"/>
      <c r="J32" s="22"/>
    </row>
    <row r="33" spans="2:10" ht="15" customHeight="1" x14ac:dyDescent="0.25">
      <c r="B33" s="18">
        <v>3</v>
      </c>
      <c r="C33" s="92" t="s">
        <v>94</v>
      </c>
      <c r="D33" s="92"/>
      <c r="E33" s="92"/>
      <c r="F33" s="92"/>
      <c r="G33" s="19" t="s">
        <v>12</v>
      </c>
      <c r="H33" s="19" t="s">
        <v>48</v>
      </c>
      <c r="I33" s="23"/>
      <c r="J33" s="22"/>
    </row>
    <row r="34" spans="2:10" ht="15" customHeight="1" x14ac:dyDescent="0.25">
      <c r="B34" s="18">
        <v>4</v>
      </c>
      <c r="C34" s="92" t="s">
        <v>95</v>
      </c>
      <c r="D34" s="92"/>
      <c r="E34" s="92"/>
      <c r="F34" s="92"/>
      <c r="G34" s="19" t="s">
        <v>12</v>
      </c>
      <c r="H34" s="19" t="s">
        <v>48</v>
      </c>
      <c r="I34" s="23"/>
      <c r="J34" s="22"/>
    </row>
    <row r="35" spans="2:10" ht="15" customHeight="1" x14ac:dyDescent="0.25">
      <c r="B35" s="18">
        <v>5</v>
      </c>
      <c r="C35" s="92" t="s">
        <v>96</v>
      </c>
      <c r="D35" s="92"/>
      <c r="E35" s="92"/>
      <c r="F35" s="92"/>
      <c r="G35" s="19" t="s">
        <v>12</v>
      </c>
      <c r="H35" s="19" t="s">
        <v>48</v>
      </c>
      <c r="I35" s="23"/>
      <c r="J35" s="22"/>
    </row>
    <row r="36" spans="2:10" x14ac:dyDescent="0.25">
      <c r="B36" s="18">
        <v>6</v>
      </c>
      <c r="C36" s="92" t="s">
        <v>97</v>
      </c>
      <c r="D36" s="92" t="s">
        <v>12</v>
      </c>
      <c r="E36" s="92"/>
      <c r="F36" s="92"/>
      <c r="G36" s="19" t="s">
        <v>12</v>
      </c>
      <c r="H36" s="19" t="s">
        <v>48</v>
      </c>
      <c r="I36" s="23"/>
      <c r="J36" s="22"/>
    </row>
    <row r="37" spans="2:10" x14ac:dyDescent="0.25">
      <c r="B37" s="18">
        <v>7</v>
      </c>
      <c r="C37" s="92" t="s">
        <v>98</v>
      </c>
      <c r="D37" s="92"/>
      <c r="E37" s="92"/>
      <c r="F37" s="92"/>
      <c r="G37" s="19" t="s">
        <v>12</v>
      </c>
      <c r="H37" s="19" t="s">
        <v>48</v>
      </c>
      <c r="I37" s="23"/>
      <c r="J37" s="22"/>
    </row>
    <row r="38" spans="2:10" x14ac:dyDescent="0.25">
      <c r="B38" s="18">
        <v>8</v>
      </c>
      <c r="C38" s="92" t="s">
        <v>99</v>
      </c>
      <c r="D38" s="92"/>
      <c r="E38" s="92"/>
      <c r="F38" s="92"/>
      <c r="G38" s="19" t="s">
        <v>12</v>
      </c>
      <c r="H38" s="19" t="s">
        <v>48</v>
      </c>
      <c r="I38" s="23"/>
      <c r="J38" s="22"/>
    </row>
    <row r="39" spans="2:10" x14ac:dyDescent="0.25">
      <c r="B39" s="18">
        <v>9</v>
      </c>
      <c r="C39" s="92" t="s">
        <v>100</v>
      </c>
      <c r="D39" s="92"/>
      <c r="E39" s="92"/>
      <c r="F39" s="92"/>
      <c r="G39" s="19" t="s">
        <v>12</v>
      </c>
      <c r="H39" s="19" t="s">
        <v>48</v>
      </c>
      <c r="I39" s="23"/>
      <c r="J39" s="22"/>
    </row>
    <row r="40" spans="2:10" ht="30" customHeight="1" x14ac:dyDescent="0.25">
      <c r="B40" s="24">
        <v>10</v>
      </c>
      <c r="C40" s="92" t="s">
        <v>101</v>
      </c>
      <c r="D40" s="92"/>
      <c r="E40" s="92"/>
      <c r="F40" s="92"/>
      <c r="G40" s="19" t="s">
        <v>12</v>
      </c>
      <c r="H40" s="19" t="s">
        <v>48</v>
      </c>
      <c r="I40" s="23"/>
      <c r="J40" s="22"/>
    </row>
    <row r="41" spans="2:10" ht="15" customHeight="1" x14ac:dyDescent="0.25">
      <c r="B41" s="18">
        <v>11</v>
      </c>
      <c r="C41" s="92" t="s">
        <v>102</v>
      </c>
      <c r="D41" s="92"/>
      <c r="E41" s="92"/>
      <c r="F41" s="92"/>
      <c r="G41" s="19" t="s">
        <v>12</v>
      </c>
      <c r="H41" s="19" t="s">
        <v>48</v>
      </c>
      <c r="I41" s="23"/>
      <c r="J41" s="22"/>
    </row>
    <row r="42" spans="2:10" ht="15" customHeight="1" x14ac:dyDescent="0.25">
      <c r="B42" s="18">
        <v>12</v>
      </c>
      <c r="C42" s="92" t="s">
        <v>103</v>
      </c>
      <c r="D42" s="92"/>
      <c r="E42" s="92"/>
      <c r="F42" s="92"/>
      <c r="G42" s="19" t="s">
        <v>12</v>
      </c>
      <c r="H42" s="19" t="s">
        <v>48</v>
      </c>
      <c r="I42" s="23"/>
      <c r="J42" s="22"/>
    </row>
    <row r="43" spans="2:10" ht="15" customHeight="1" x14ac:dyDescent="0.25">
      <c r="B43" s="18">
        <v>13</v>
      </c>
      <c r="C43" s="92" t="s">
        <v>104</v>
      </c>
      <c r="D43" s="92"/>
      <c r="E43" s="92"/>
      <c r="F43" s="92"/>
      <c r="G43" s="19" t="s">
        <v>12</v>
      </c>
      <c r="H43" s="19" t="s">
        <v>48</v>
      </c>
      <c r="I43" s="23"/>
      <c r="J43" s="22"/>
    </row>
    <row r="44" spans="2:10" x14ac:dyDescent="0.25">
      <c r="B44" s="18">
        <v>14</v>
      </c>
      <c r="C44" s="92" t="s">
        <v>49</v>
      </c>
      <c r="D44" s="92"/>
      <c r="E44" s="92"/>
      <c r="F44" s="92"/>
      <c r="G44" s="19" t="s">
        <v>12</v>
      </c>
      <c r="H44" s="19" t="s">
        <v>48</v>
      </c>
      <c r="I44" s="23"/>
      <c r="J44" s="22"/>
    </row>
    <row r="45" spans="2:10" x14ac:dyDescent="0.25">
      <c r="B45" s="18"/>
      <c r="C45" s="96"/>
      <c r="D45" s="96"/>
      <c r="E45" s="96"/>
      <c r="F45" s="96"/>
      <c r="G45" s="96"/>
      <c r="H45" s="96"/>
      <c r="I45" s="21"/>
      <c r="J45" s="22"/>
    </row>
    <row r="46" spans="2:10" s="2" customFormat="1" x14ac:dyDescent="0.25">
      <c r="B46" s="89" t="s">
        <v>73</v>
      </c>
      <c r="C46" s="89"/>
      <c r="D46" s="91" t="s">
        <v>105</v>
      </c>
      <c r="E46" s="91"/>
      <c r="F46" s="91"/>
      <c r="G46" s="91"/>
      <c r="H46" s="91"/>
      <c r="I46" s="4"/>
      <c r="J46" s="4"/>
    </row>
    <row r="47" spans="2:10" s="2" customFormat="1" x14ac:dyDescent="0.25">
      <c r="D47" s="16"/>
      <c r="E47" s="4"/>
      <c r="F47" s="4"/>
      <c r="G47" s="4"/>
      <c r="H47" s="4"/>
      <c r="I47" s="4"/>
      <c r="J47" s="4"/>
    </row>
    <row r="48" spans="2:10" s="2" customFormat="1" x14ac:dyDescent="0.25">
      <c r="B48" s="15"/>
      <c r="C48" s="15"/>
      <c r="D48" s="16"/>
      <c r="E48" s="4"/>
      <c r="F48" s="4"/>
      <c r="G48" s="4"/>
      <c r="H48" s="4"/>
      <c r="I48" s="4"/>
      <c r="J48" s="4"/>
    </row>
    <row r="49" spans="2:10" s="2" customFormat="1" x14ac:dyDescent="0.25">
      <c r="D49" s="16"/>
      <c r="E49" s="4"/>
      <c r="F49" s="4"/>
      <c r="G49" s="4"/>
      <c r="H49" s="4"/>
      <c r="I49" s="4"/>
      <c r="J49" s="4"/>
    </row>
    <row r="50" spans="2:10" s="2" customFormat="1" x14ac:dyDescent="0.25">
      <c r="B50" s="89" t="s">
        <v>160</v>
      </c>
      <c r="C50" s="89"/>
      <c r="D50" s="16"/>
      <c r="E50" s="91" t="s">
        <v>170</v>
      </c>
      <c r="F50" s="91"/>
      <c r="G50" s="91"/>
      <c r="H50" s="4"/>
      <c r="I50" s="4"/>
      <c r="J50" s="4"/>
    </row>
    <row r="51" spans="2:10" s="2" customFormat="1" x14ac:dyDescent="0.25">
      <c r="B51" s="3"/>
      <c r="C51" s="1"/>
      <c r="D51" s="91"/>
      <c r="E51" s="91"/>
      <c r="F51" s="91"/>
      <c r="G51" s="91"/>
      <c r="H51" s="91"/>
      <c r="I51" s="4"/>
      <c r="J51" s="4"/>
    </row>
    <row r="52" spans="2:10" s="2" customFormat="1" x14ac:dyDescent="0.25">
      <c r="D52" s="91"/>
      <c r="E52" s="91"/>
      <c r="F52" s="91"/>
      <c r="G52" s="91"/>
      <c r="H52" s="91"/>
      <c r="I52" s="4"/>
      <c r="J52" s="4"/>
    </row>
  </sheetData>
  <mergeCells count="59">
    <mergeCell ref="E24:H24"/>
    <mergeCell ref="E27:H27"/>
    <mergeCell ref="E28:H28"/>
    <mergeCell ref="E29:H29"/>
    <mergeCell ref="E30:H30"/>
    <mergeCell ref="E26:H26"/>
    <mergeCell ref="C45:H45"/>
    <mergeCell ref="E50:G50"/>
    <mergeCell ref="D52:H52"/>
    <mergeCell ref="B46:C46"/>
    <mergeCell ref="B50:C50"/>
    <mergeCell ref="D46:H46"/>
    <mergeCell ref="D51:H51"/>
    <mergeCell ref="C43:F43"/>
    <mergeCell ref="C44:F44"/>
    <mergeCell ref="E7:H7"/>
    <mergeCell ref="E8:H8"/>
    <mergeCell ref="E9:H9"/>
    <mergeCell ref="E10:H10"/>
    <mergeCell ref="E17:H17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I15:K15"/>
    <mergeCell ref="E16:H16"/>
    <mergeCell ref="I16:K16"/>
    <mergeCell ref="E25:H25"/>
    <mergeCell ref="E18:H18"/>
    <mergeCell ref="E20:H20"/>
    <mergeCell ref="E21:H21"/>
    <mergeCell ref="E22:H22"/>
    <mergeCell ref="E19:H19"/>
    <mergeCell ref="B1:H1"/>
    <mergeCell ref="B2:H2"/>
    <mergeCell ref="B3:H3"/>
    <mergeCell ref="B4:H4"/>
    <mergeCell ref="B5:H5"/>
    <mergeCell ref="B7:C7"/>
    <mergeCell ref="E14:H14"/>
    <mergeCell ref="E15:H15"/>
    <mergeCell ref="B10:C10"/>
    <mergeCell ref="E23:H23"/>
    <mergeCell ref="E11:H11"/>
    <mergeCell ref="E12:H12"/>
    <mergeCell ref="E13:H13"/>
    <mergeCell ref="B11:C11"/>
    <mergeCell ref="B12:C12"/>
    <mergeCell ref="B13:C13"/>
    <mergeCell ref="B14:C14"/>
    <mergeCell ref="B15:C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zoomScale="115" zoomScaleNormal="115" workbookViewId="0">
      <selection activeCell="K39" sqref="K39"/>
    </sheetView>
  </sheetViews>
  <sheetFormatPr defaultRowHeight="15" x14ac:dyDescent="0.25"/>
  <cols>
    <col min="1" max="1" width="3.85546875" style="6" customWidth="1"/>
    <col min="2" max="2" width="41.28515625" style="6" customWidth="1"/>
    <col min="3" max="3" width="3.28515625" style="6" customWidth="1"/>
    <col min="4" max="6" width="9.140625" style="6"/>
    <col min="7" max="7" width="11.7109375" style="6" customWidth="1"/>
    <col min="8" max="16384" width="9.140625" style="6"/>
  </cols>
  <sheetData>
    <row r="1" spans="1:8" ht="15.75" customHeight="1" x14ac:dyDescent="0.25">
      <c r="A1" s="91" t="s">
        <v>41</v>
      </c>
      <c r="B1" s="91"/>
      <c r="C1" s="91"/>
      <c r="D1" s="91"/>
      <c r="E1" s="91"/>
      <c r="F1" s="91"/>
      <c r="G1" s="91"/>
      <c r="H1" s="4"/>
    </row>
    <row r="2" spans="1:8" ht="15.75" customHeight="1" x14ac:dyDescent="0.25">
      <c r="A2" s="91" t="s">
        <v>51</v>
      </c>
      <c r="B2" s="91"/>
      <c r="C2" s="91"/>
      <c r="D2" s="91"/>
      <c r="E2" s="91"/>
      <c r="F2" s="91"/>
      <c r="G2" s="91"/>
      <c r="H2" s="5"/>
    </row>
    <row r="3" spans="1:8" ht="15.75" customHeight="1" x14ac:dyDescent="0.25">
      <c r="A3" s="91" t="s">
        <v>52</v>
      </c>
      <c r="B3" s="91"/>
      <c r="C3" s="91"/>
      <c r="D3" s="91"/>
      <c r="E3" s="91"/>
      <c r="F3" s="91"/>
      <c r="G3" s="91"/>
      <c r="H3" s="5"/>
    </row>
    <row r="4" spans="1:8" ht="15.75" customHeight="1" x14ac:dyDescent="0.25">
      <c r="A4" s="91" t="s">
        <v>53</v>
      </c>
      <c r="B4" s="91"/>
      <c r="C4" s="91"/>
      <c r="D4" s="91"/>
      <c r="E4" s="91"/>
      <c r="F4" s="91"/>
      <c r="G4" s="91"/>
      <c r="H4" s="5"/>
    </row>
    <row r="5" spans="1:8" ht="15.75" customHeight="1" x14ac:dyDescent="0.25">
      <c r="A5" s="91" t="s">
        <v>106</v>
      </c>
      <c r="B5" s="91"/>
      <c r="C5" s="91"/>
      <c r="D5" s="91"/>
      <c r="E5" s="91"/>
      <c r="F5" s="91"/>
      <c r="G5" s="91"/>
      <c r="H5" s="5"/>
    </row>
    <row r="6" spans="1:8" x14ac:dyDescent="0.25">
      <c r="A6" s="3"/>
      <c r="B6" s="2"/>
      <c r="C6" s="2"/>
      <c r="D6" s="97"/>
      <c r="E6" s="97"/>
      <c r="F6" s="97"/>
      <c r="G6" s="97"/>
      <c r="H6" s="2"/>
    </row>
    <row r="7" spans="1:8" ht="15" customHeight="1" x14ac:dyDescent="0.25">
      <c r="A7" s="3">
        <v>1</v>
      </c>
      <c r="B7" s="2" t="s">
        <v>107</v>
      </c>
      <c r="C7" s="4" t="s">
        <v>12</v>
      </c>
      <c r="D7" s="90" t="s">
        <v>79</v>
      </c>
      <c r="E7" s="90"/>
      <c r="F7" s="90"/>
      <c r="G7" s="90"/>
      <c r="H7" s="2"/>
    </row>
    <row r="8" spans="1:8" ht="15" customHeight="1" x14ac:dyDescent="0.25">
      <c r="A8" s="3"/>
      <c r="B8" s="2"/>
      <c r="C8" s="4"/>
      <c r="D8" s="89" t="s">
        <v>162</v>
      </c>
      <c r="E8" s="89"/>
      <c r="F8" s="89"/>
      <c r="G8" s="89"/>
      <c r="H8" s="2"/>
    </row>
    <row r="9" spans="1:8" ht="15" customHeight="1" x14ac:dyDescent="0.25">
      <c r="A9" s="28"/>
      <c r="B9" s="2"/>
      <c r="C9" s="4"/>
      <c r="D9" s="89" t="s">
        <v>69</v>
      </c>
      <c r="E9" s="89"/>
      <c r="F9" s="89"/>
      <c r="G9" s="89"/>
      <c r="H9" s="2"/>
    </row>
    <row r="10" spans="1:8" ht="15" customHeight="1" x14ac:dyDescent="0.25">
      <c r="A10" s="3">
        <v>2</v>
      </c>
      <c r="B10" s="2" t="s">
        <v>45</v>
      </c>
      <c r="C10" s="4" t="s">
        <v>12</v>
      </c>
      <c r="D10" s="89" t="s">
        <v>70</v>
      </c>
      <c r="E10" s="89"/>
      <c r="F10" s="89"/>
      <c r="G10" s="89"/>
      <c r="H10" s="2"/>
    </row>
    <row r="11" spans="1:8" ht="15" customHeight="1" x14ac:dyDescent="0.25">
      <c r="A11" s="3"/>
      <c r="B11" s="2"/>
      <c r="C11" s="4"/>
      <c r="D11" s="89"/>
      <c r="E11" s="89"/>
      <c r="F11" s="89"/>
      <c r="G11" s="89"/>
      <c r="H11" s="2"/>
    </row>
    <row r="12" spans="1:8" ht="15" customHeight="1" x14ac:dyDescent="0.25">
      <c r="A12" s="3">
        <v>3</v>
      </c>
      <c r="B12" s="2" t="s">
        <v>110</v>
      </c>
      <c r="C12" s="4" t="s">
        <v>12</v>
      </c>
      <c r="D12" s="89" t="s">
        <v>108</v>
      </c>
      <c r="E12" s="89"/>
      <c r="F12" s="89"/>
      <c r="G12" s="89"/>
      <c r="H12" s="2"/>
    </row>
    <row r="13" spans="1:8" ht="15" customHeight="1" x14ac:dyDescent="0.25">
      <c r="A13" s="3"/>
      <c r="B13" s="2"/>
      <c r="C13" s="4"/>
      <c r="D13" s="89" t="s">
        <v>171</v>
      </c>
      <c r="E13" s="89"/>
      <c r="F13" s="89"/>
      <c r="G13" s="89"/>
      <c r="H13" s="2"/>
    </row>
    <row r="14" spans="1:8" ht="15" customHeight="1" x14ac:dyDescent="0.25">
      <c r="A14" s="3"/>
      <c r="B14" s="2"/>
      <c r="C14" s="4"/>
      <c r="D14" s="89"/>
      <c r="E14" s="89"/>
      <c r="F14" s="89"/>
      <c r="G14" s="89"/>
      <c r="H14" s="2"/>
    </row>
    <row r="15" spans="1:8" ht="15" customHeight="1" x14ac:dyDescent="0.25">
      <c r="A15" s="3">
        <v>4</v>
      </c>
      <c r="B15" s="2" t="s">
        <v>109</v>
      </c>
      <c r="C15" s="4" t="s">
        <v>12</v>
      </c>
      <c r="D15" s="100">
        <v>40663</v>
      </c>
      <c r="E15" s="89"/>
      <c r="F15" s="89"/>
      <c r="G15" s="89"/>
      <c r="H15" s="2"/>
    </row>
    <row r="16" spans="1:8" ht="15" customHeight="1" x14ac:dyDescent="0.25">
      <c r="A16" s="3"/>
      <c r="B16" s="2"/>
      <c r="C16" s="4"/>
      <c r="D16" s="89"/>
      <c r="E16" s="89"/>
      <c r="F16" s="89"/>
      <c r="G16" s="89"/>
      <c r="H16" s="2"/>
    </row>
    <row r="17" spans="1:8" ht="15" customHeight="1" x14ac:dyDescent="0.25">
      <c r="A17" s="3"/>
      <c r="B17" s="2"/>
      <c r="C17" s="4"/>
      <c r="D17" s="89"/>
      <c r="E17" s="89"/>
      <c r="F17" s="89"/>
      <c r="G17" s="89"/>
      <c r="H17" s="2"/>
    </row>
    <row r="18" spans="1:8" ht="15" customHeight="1" x14ac:dyDescent="0.25">
      <c r="A18" s="3">
        <v>5</v>
      </c>
      <c r="B18" s="2" t="s">
        <v>54</v>
      </c>
      <c r="C18" s="4" t="s">
        <v>12</v>
      </c>
      <c r="D18" s="89">
        <v>451</v>
      </c>
      <c r="E18" s="89"/>
      <c r="F18" s="89"/>
      <c r="G18" s="89"/>
      <c r="H18" s="2"/>
    </row>
    <row r="19" spans="1:8" ht="15" customHeight="1" x14ac:dyDescent="0.25">
      <c r="A19" s="3"/>
      <c r="B19" s="2" t="s">
        <v>55</v>
      </c>
      <c r="C19" s="4"/>
      <c r="D19" s="89"/>
      <c r="E19" s="89"/>
      <c r="F19" s="89"/>
      <c r="G19" s="89"/>
      <c r="H19" s="2"/>
    </row>
    <row r="20" spans="1:8" ht="15" customHeight="1" x14ac:dyDescent="0.25">
      <c r="A20" s="3"/>
      <c r="B20" s="2"/>
      <c r="C20" s="4"/>
      <c r="D20" s="89"/>
      <c r="E20" s="89"/>
      <c r="F20" s="89"/>
      <c r="G20" s="89"/>
      <c r="H20" s="2"/>
    </row>
    <row r="21" spans="1:8" ht="15" customHeight="1" x14ac:dyDescent="0.25">
      <c r="A21" s="3">
        <v>6</v>
      </c>
      <c r="B21" s="2" t="s">
        <v>56</v>
      </c>
      <c r="C21" s="4" t="s">
        <v>12</v>
      </c>
      <c r="D21" s="89">
        <v>451</v>
      </c>
      <c r="E21" s="89"/>
      <c r="F21" s="89"/>
      <c r="G21" s="89"/>
      <c r="H21" s="2"/>
    </row>
    <row r="22" spans="1:8" ht="15" customHeight="1" x14ac:dyDescent="0.25">
      <c r="A22" s="3"/>
      <c r="B22" s="2" t="s">
        <v>57</v>
      </c>
      <c r="C22" s="4"/>
      <c r="D22" s="89"/>
      <c r="E22" s="89"/>
      <c r="F22" s="89"/>
      <c r="G22" s="89"/>
      <c r="H22" s="2"/>
    </row>
    <row r="23" spans="1:8" ht="15" customHeight="1" x14ac:dyDescent="0.25">
      <c r="A23" s="3"/>
      <c r="B23" s="2"/>
      <c r="C23" s="4"/>
      <c r="D23" s="89"/>
      <c r="E23" s="89"/>
      <c r="F23" s="89"/>
      <c r="G23" s="89"/>
      <c r="H23" s="2"/>
    </row>
    <row r="24" spans="1:8" ht="15" customHeight="1" x14ac:dyDescent="0.25">
      <c r="A24" s="3">
        <v>7</v>
      </c>
      <c r="B24" s="2" t="s">
        <v>58</v>
      </c>
      <c r="C24" s="2" t="s">
        <v>12</v>
      </c>
      <c r="D24" s="89">
        <v>149</v>
      </c>
      <c r="E24" s="89"/>
      <c r="F24" s="89"/>
      <c r="G24" s="89"/>
      <c r="H24" s="2"/>
    </row>
    <row r="25" spans="1:8" s="29" customFormat="1" ht="15" customHeight="1" x14ac:dyDescent="0.25">
      <c r="A25" s="32"/>
      <c r="B25" s="33" t="s">
        <v>111</v>
      </c>
      <c r="C25" s="34"/>
      <c r="D25" s="98"/>
      <c r="E25" s="98"/>
      <c r="F25" s="98"/>
      <c r="G25" s="98"/>
      <c r="H25" s="33"/>
    </row>
    <row r="26" spans="1:8" ht="15" customHeight="1" x14ac:dyDescent="0.25">
      <c r="A26" s="3"/>
      <c r="B26" s="2"/>
      <c r="C26" s="4"/>
      <c r="D26" s="89"/>
      <c r="E26" s="89"/>
      <c r="F26" s="89"/>
      <c r="G26" s="89"/>
      <c r="H26" s="2"/>
    </row>
    <row r="27" spans="1:8" ht="15" customHeight="1" x14ac:dyDescent="0.25">
      <c r="A27" s="3">
        <v>8</v>
      </c>
      <c r="B27" s="2" t="s">
        <v>112</v>
      </c>
      <c r="C27" s="4" t="s">
        <v>12</v>
      </c>
      <c r="D27" s="98">
        <v>23</v>
      </c>
      <c r="E27" s="98"/>
      <c r="F27" s="98"/>
      <c r="G27" s="98"/>
      <c r="H27" s="2"/>
    </row>
    <row r="28" spans="1:8" ht="15" customHeight="1" x14ac:dyDescent="0.25">
      <c r="A28" s="3"/>
      <c r="B28" s="2" t="s">
        <v>113</v>
      </c>
      <c r="D28" s="99"/>
      <c r="E28" s="99"/>
      <c r="F28" s="99"/>
      <c r="G28" s="99"/>
      <c r="H28" s="2"/>
    </row>
    <row r="29" spans="1:8" ht="15" customHeight="1" x14ac:dyDescent="0.25">
      <c r="A29" s="3"/>
      <c r="B29" s="2" t="s">
        <v>115</v>
      </c>
      <c r="C29" s="4"/>
      <c r="D29" s="98"/>
      <c r="E29" s="98"/>
      <c r="F29" s="98"/>
      <c r="G29" s="98"/>
      <c r="H29" s="2"/>
    </row>
    <row r="30" spans="1:8" ht="15" customHeight="1" x14ac:dyDescent="0.25">
      <c r="A30" s="3"/>
      <c r="B30" s="2"/>
      <c r="C30" s="4"/>
      <c r="D30" s="98"/>
      <c r="E30" s="98"/>
      <c r="F30" s="98"/>
      <c r="G30" s="98"/>
      <c r="H30" s="2"/>
    </row>
    <row r="31" spans="1:8" ht="15" customHeight="1" x14ac:dyDescent="0.25">
      <c r="A31" s="3">
        <v>9</v>
      </c>
      <c r="B31" s="2" t="s">
        <v>114</v>
      </c>
      <c r="C31" s="4" t="s">
        <v>12</v>
      </c>
      <c r="D31" s="98">
        <v>23</v>
      </c>
      <c r="E31" s="98"/>
      <c r="F31" s="98"/>
      <c r="G31" s="98"/>
      <c r="H31" s="2"/>
    </row>
    <row r="32" spans="1:8" ht="15" customHeight="1" x14ac:dyDescent="0.25">
      <c r="A32" s="3"/>
      <c r="B32" s="2" t="s">
        <v>115</v>
      </c>
      <c r="C32" s="4"/>
      <c r="D32" s="89"/>
      <c r="E32" s="89"/>
      <c r="F32" s="89"/>
      <c r="G32" s="89"/>
      <c r="H32" s="2"/>
    </row>
    <row r="33" spans="1:9" ht="15" customHeight="1" x14ac:dyDescent="0.25">
      <c r="A33" s="3"/>
      <c r="B33" s="2"/>
      <c r="C33" s="4"/>
      <c r="D33" s="89"/>
      <c r="E33" s="89"/>
      <c r="F33" s="89"/>
      <c r="G33" s="89"/>
      <c r="H33" s="2"/>
    </row>
    <row r="34" spans="1:9" ht="15" customHeight="1" x14ac:dyDescent="0.25">
      <c r="A34" s="3">
        <v>10</v>
      </c>
      <c r="B34" s="2" t="s">
        <v>116</v>
      </c>
      <c r="C34" s="4" t="s">
        <v>12</v>
      </c>
      <c r="D34" s="89" t="s">
        <v>48</v>
      </c>
      <c r="E34" s="89"/>
      <c r="F34" s="89"/>
      <c r="G34" s="89"/>
      <c r="H34" s="2"/>
    </row>
    <row r="35" spans="1:9" ht="15" customHeight="1" x14ac:dyDescent="0.25">
      <c r="A35" s="3"/>
      <c r="B35" s="2" t="s">
        <v>124</v>
      </c>
      <c r="C35" s="4"/>
      <c r="D35" s="89"/>
      <c r="E35" s="89"/>
      <c r="F35" s="89"/>
      <c r="G35" s="89"/>
      <c r="H35" s="2"/>
    </row>
    <row r="36" spans="1:9" ht="15" customHeight="1" x14ac:dyDescent="0.25">
      <c r="A36" s="3"/>
      <c r="B36" s="2"/>
      <c r="C36" s="4"/>
      <c r="D36" s="89"/>
      <c r="E36" s="89"/>
      <c r="F36" s="89"/>
      <c r="G36" s="89"/>
      <c r="H36" s="2"/>
    </row>
    <row r="37" spans="1:9" ht="15" customHeight="1" x14ac:dyDescent="0.25">
      <c r="A37" s="3">
        <v>11</v>
      </c>
      <c r="B37" s="2" t="s">
        <v>59</v>
      </c>
      <c r="C37" s="4" t="s">
        <v>12</v>
      </c>
      <c r="D37" s="89" t="s">
        <v>48</v>
      </c>
      <c r="E37" s="89"/>
      <c r="F37" s="89"/>
      <c r="G37" s="89"/>
      <c r="H37" s="2"/>
    </row>
    <row r="38" spans="1:9" ht="15" customHeight="1" x14ac:dyDescent="0.25">
      <c r="A38" s="3"/>
      <c r="B38" s="2"/>
      <c r="C38" s="4"/>
      <c r="D38" s="89"/>
      <c r="E38" s="89"/>
      <c r="F38" s="89"/>
      <c r="G38" s="89"/>
      <c r="H38" s="2"/>
    </row>
    <row r="39" spans="1:9" ht="15" customHeight="1" x14ac:dyDescent="0.25">
      <c r="A39" s="3">
        <v>12</v>
      </c>
      <c r="B39" s="2" t="s">
        <v>60</v>
      </c>
      <c r="C39" s="4" t="s">
        <v>12</v>
      </c>
      <c r="D39" s="89" t="s">
        <v>50</v>
      </c>
      <c r="E39" s="89"/>
      <c r="F39" s="89"/>
      <c r="G39" s="89"/>
      <c r="H39" s="2"/>
    </row>
    <row r="40" spans="1:9" ht="15" customHeight="1" x14ac:dyDescent="0.25">
      <c r="A40" s="3"/>
      <c r="B40" s="2"/>
      <c r="C40" s="4"/>
      <c r="D40" s="97"/>
      <c r="E40" s="97"/>
      <c r="F40" s="97"/>
      <c r="G40" s="97"/>
      <c r="H40" s="2"/>
    </row>
    <row r="41" spans="1:9" ht="15" customHeight="1" x14ac:dyDescent="0.25">
      <c r="A41" s="3"/>
      <c r="B41" s="2"/>
      <c r="C41" s="4"/>
      <c r="D41" s="97"/>
      <c r="E41" s="97"/>
      <c r="F41" s="97"/>
      <c r="G41" s="97"/>
      <c r="H41" s="2"/>
    </row>
    <row r="42" spans="1:9" s="2" customFormat="1" x14ac:dyDescent="0.25">
      <c r="A42" s="89" t="s">
        <v>73</v>
      </c>
      <c r="B42" s="89"/>
      <c r="C42" s="4"/>
      <c r="D42" s="91" t="s">
        <v>105</v>
      </c>
      <c r="E42" s="91"/>
      <c r="F42" s="91"/>
      <c r="G42" s="91"/>
      <c r="H42" s="4"/>
      <c r="I42" s="4"/>
    </row>
    <row r="43" spans="1:9" s="2" customFormat="1" x14ac:dyDescent="0.25">
      <c r="C43" s="26"/>
      <c r="D43" s="97"/>
      <c r="E43" s="97"/>
      <c r="F43" s="97"/>
      <c r="G43" s="97"/>
      <c r="H43" s="4"/>
      <c r="I43" s="4"/>
    </row>
    <row r="44" spans="1:9" s="2" customFormat="1" x14ac:dyDescent="0.25">
      <c r="A44" s="15"/>
      <c r="B44" s="15"/>
      <c r="C44" s="26"/>
      <c r="D44" s="97"/>
      <c r="E44" s="97"/>
      <c r="F44" s="97"/>
      <c r="G44" s="97"/>
      <c r="H44" s="4"/>
      <c r="I44" s="4"/>
    </row>
    <row r="45" spans="1:9" s="2" customFormat="1" x14ac:dyDescent="0.25">
      <c r="A45" s="89" t="s">
        <v>160</v>
      </c>
      <c r="B45" s="89"/>
      <c r="C45" s="26"/>
      <c r="D45" s="90" t="s">
        <v>163</v>
      </c>
      <c r="E45" s="90"/>
      <c r="F45" s="90"/>
      <c r="G45" s="90"/>
      <c r="H45" s="4"/>
      <c r="I45" s="4"/>
    </row>
    <row r="46" spans="1:9" s="2" customFormat="1" x14ac:dyDescent="0.25">
      <c r="A46" s="15"/>
      <c r="B46" s="15"/>
      <c r="C46" s="26"/>
      <c r="D46" s="90"/>
      <c r="E46" s="90"/>
      <c r="F46" s="90"/>
      <c r="G46" s="90"/>
      <c r="H46" s="4"/>
      <c r="I46" s="4"/>
    </row>
    <row r="47" spans="1:9" s="2" customFormat="1" x14ac:dyDescent="0.25">
      <c r="A47" s="3"/>
      <c r="B47" s="1"/>
      <c r="H47" s="4"/>
      <c r="I47" s="4"/>
    </row>
    <row r="48" spans="1:9" s="2" customFormat="1" x14ac:dyDescent="0.25">
      <c r="H48" s="4"/>
      <c r="I48" s="4"/>
    </row>
  </sheetData>
  <mergeCells count="48">
    <mergeCell ref="D13:G13"/>
    <mergeCell ref="A1:G1"/>
    <mergeCell ref="A2:G2"/>
    <mergeCell ref="A3:G3"/>
    <mergeCell ref="A4:G4"/>
    <mergeCell ref="A5:G5"/>
    <mergeCell ref="D7:G7"/>
    <mergeCell ref="D8:G8"/>
    <mergeCell ref="D10:G10"/>
    <mergeCell ref="D11:G11"/>
    <mergeCell ref="D12:G12"/>
    <mergeCell ref="D9:G9"/>
    <mergeCell ref="D6:G6"/>
    <mergeCell ref="D25:G25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37:G37"/>
    <mergeCell ref="D26:G26"/>
    <mergeCell ref="D27:G27"/>
    <mergeCell ref="D29:G29"/>
    <mergeCell ref="D30:G30"/>
    <mergeCell ref="D31:G31"/>
    <mergeCell ref="D32:G32"/>
    <mergeCell ref="D33:G33"/>
    <mergeCell ref="D34:G34"/>
    <mergeCell ref="D35:G35"/>
    <mergeCell ref="D36:G36"/>
    <mergeCell ref="D28:G28"/>
    <mergeCell ref="D38:G38"/>
    <mergeCell ref="D39:G39"/>
    <mergeCell ref="A42:B42"/>
    <mergeCell ref="A45:B45"/>
    <mergeCell ref="D46:G46"/>
    <mergeCell ref="D40:G40"/>
    <mergeCell ref="D41:G41"/>
    <mergeCell ref="D42:G42"/>
    <mergeCell ref="D44:G44"/>
    <mergeCell ref="D43:G43"/>
    <mergeCell ref="D45:G45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G8" sqref="G8"/>
    </sheetView>
  </sheetViews>
  <sheetFormatPr defaultRowHeight="15" x14ac:dyDescent="0.25"/>
  <cols>
    <col min="1" max="1" width="7.28515625" style="61" customWidth="1"/>
    <col min="2" max="2" width="12.7109375" style="70" customWidth="1"/>
    <col min="3" max="3" width="40.7109375" style="61" customWidth="1"/>
    <col min="4" max="4" width="33.28515625" style="61" customWidth="1"/>
    <col min="5" max="6" width="9.140625" style="61"/>
    <col min="7" max="7" width="28.7109375" style="61" customWidth="1"/>
    <col min="8" max="16384" width="9.140625" style="61"/>
  </cols>
  <sheetData>
    <row r="1" spans="1:7" ht="16.5" customHeight="1" x14ac:dyDescent="0.25">
      <c r="A1" s="102" t="s">
        <v>61</v>
      </c>
      <c r="B1" s="102"/>
      <c r="C1" s="102"/>
      <c r="D1" s="102"/>
      <c r="E1" s="60"/>
      <c r="F1" s="60"/>
      <c r="G1" s="60"/>
    </row>
    <row r="2" spans="1:7" ht="16.5" customHeight="1" x14ac:dyDescent="0.25">
      <c r="A2" s="103" t="s">
        <v>62</v>
      </c>
      <c r="B2" s="103"/>
      <c r="C2" s="103"/>
      <c r="D2" s="103"/>
      <c r="E2" s="60"/>
      <c r="F2" s="60"/>
      <c r="G2" s="60"/>
    </row>
    <row r="3" spans="1:7" ht="16.5" customHeight="1" x14ac:dyDescent="0.25">
      <c r="A3" s="104" t="s">
        <v>161</v>
      </c>
      <c r="B3" s="104"/>
      <c r="C3" s="104"/>
      <c r="D3" s="104"/>
    </row>
    <row r="4" spans="1:7" ht="16.5" customHeight="1" x14ac:dyDescent="0.25">
      <c r="A4" s="104" t="s">
        <v>74</v>
      </c>
      <c r="B4" s="104"/>
      <c r="C4" s="104"/>
      <c r="D4" s="104"/>
      <c r="G4" s="62"/>
    </row>
    <row r="5" spans="1:7" ht="16.5" customHeight="1" x14ac:dyDescent="0.25">
      <c r="A5" s="71" t="s">
        <v>0</v>
      </c>
      <c r="B5" s="72" t="s">
        <v>78</v>
      </c>
      <c r="C5" s="73" t="s">
        <v>159</v>
      </c>
      <c r="D5" s="74" t="s">
        <v>63</v>
      </c>
      <c r="G5" s="62"/>
    </row>
    <row r="6" spans="1:7" s="63" customFormat="1" ht="16.5" customHeight="1" x14ac:dyDescent="0.3">
      <c r="A6" s="75">
        <v>1</v>
      </c>
      <c r="B6" s="75">
        <v>1208</v>
      </c>
      <c r="C6" s="79" t="s">
        <v>130</v>
      </c>
      <c r="D6" s="79" t="s">
        <v>153</v>
      </c>
      <c r="G6" s="64"/>
    </row>
    <row r="7" spans="1:7" ht="16.5" customHeight="1" x14ac:dyDescent="0.3">
      <c r="A7" s="76">
        <v>2</v>
      </c>
      <c r="B7" s="75">
        <v>1211</v>
      </c>
      <c r="C7" s="79" t="s">
        <v>131</v>
      </c>
      <c r="D7" s="79" t="s">
        <v>153</v>
      </c>
      <c r="G7" s="62"/>
    </row>
    <row r="8" spans="1:7" ht="16.5" customHeight="1" x14ac:dyDescent="0.3">
      <c r="A8" s="76">
        <v>3</v>
      </c>
      <c r="B8" s="75">
        <v>1222</v>
      </c>
      <c r="C8" s="79" t="s">
        <v>132</v>
      </c>
      <c r="D8" s="79" t="s">
        <v>68</v>
      </c>
      <c r="G8" s="62"/>
    </row>
    <row r="9" spans="1:7" ht="16.5" customHeight="1" x14ac:dyDescent="0.3">
      <c r="A9" s="75">
        <v>4</v>
      </c>
      <c r="B9" s="75">
        <v>1223</v>
      </c>
      <c r="C9" s="79" t="s">
        <v>133</v>
      </c>
      <c r="D9" s="79" t="s">
        <v>154</v>
      </c>
      <c r="G9" s="62"/>
    </row>
    <row r="10" spans="1:7" ht="16.5" customHeight="1" x14ac:dyDescent="0.3">
      <c r="A10" s="76">
        <v>5</v>
      </c>
      <c r="B10" s="75">
        <v>1234</v>
      </c>
      <c r="C10" s="79" t="s">
        <v>134</v>
      </c>
      <c r="D10" s="79" t="s">
        <v>68</v>
      </c>
    </row>
    <row r="11" spans="1:7" ht="16.5" customHeight="1" x14ac:dyDescent="0.3">
      <c r="A11" s="76">
        <v>6</v>
      </c>
      <c r="B11" s="75">
        <v>1246</v>
      </c>
      <c r="C11" s="79" t="s">
        <v>135</v>
      </c>
      <c r="D11" s="79" t="s">
        <v>155</v>
      </c>
    </row>
    <row r="12" spans="1:7" ht="16.5" customHeight="1" x14ac:dyDescent="0.3">
      <c r="A12" s="75">
        <v>7</v>
      </c>
      <c r="B12" s="75">
        <v>1247</v>
      </c>
      <c r="C12" s="79" t="s">
        <v>136</v>
      </c>
      <c r="D12" s="79" t="s">
        <v>68</v>
      </c>
    </row>
    <row r="13" spans="1:7" ht="16.5" customHeight="1" x14ac:dyDescent="0.3">
      <c r="A13" s="76">
        <v>8</v>
      </c>
      <c r="B13" s="75">
        <v>1250</v>
      </c>
      <c r="C13" s="79" t="s">
        <v>137</v>
      </c>
      <c r="D13" s="79" t="s">
        <v>156</v>
      </c>
    </row>
    <row r="14" spans="1:7" ht="16.5" customHeight="1" x14ac:dyDescent="0.3">
      <c r="A14" s="76">
        <v>9</v>
      </c>
      <c r="B14" s="75">
        <v>1253</v>
      </c>
      <c r="C14" s="79" t="s">
        <v>138</v>
      </c>
      <c r="D14" s="79" t="s">
        <v>157</v>
      </c>
    </row>
    <row r="15" spans="1:7" ht="16.5" customHeight="1" x14ac:dyDescent="0.3">
      <c r="A15" s="75">
        <v>10</v>
      </c>
      <c r="B15" s="75">
        <v>1268</v>
      </c>
      <c r="C15" s="79" t="s">
        <v>139</v>
      </c>
      <c r="D15" s="79" t="s">
        <v>157</v>
      </c>
    </row>
    <row r="16" spans="1:7" ht="16.5" customHeight="1" x14ac:dyDescent="0.3">
      <c r="A16" s="76">
        <v>11</v>
      </c>
      <c r="B16" s="75">
        <v>1270</v>
      </c>
      <c r="C16" s="79" t="s">
        <v>140</v>
      </c>
      <c r="D16" s="79" t="s">
        <v>68</v>
      </c>
    </row>
    <row r="17" spans="1:7" ht="16.5" customHeight="1" x14ac:dyDescent="0.3">
      <c r="A17" s="76">
        <v>12</v>
      </c>
      <c r="B17" s="75">
        <v>1274</v>
      </c>
      <c r="C17" s="79" t="s">
        <v>141</v>
      </c>
      <c r="D17" s="79" t="s">
        <v>153</v>
      </c>
    </row>
    <row r="18" spans="1:7" ht="16.5" customHeight="1" x14ac:dyDescent="0.3">
      <c r="A18" s="75">
        <v>13</v>
      </c>
      <c r="B18" s="75">
        <v>1277</v>
      </c>
      <c r="C18" s="79" t="s">
        <v>142</v>
      </c>
      <c r="D18" s="79" t="s">
        <v>68</v>
      </c>
    </row>
    <row r="19" spans="1:7" ht="16.5" customHeight="1" x14ac:dyDescent="0.3">
      <c r="A19" s="76">
        <v>14</v>
      </c>
      <c r="B19" s="75">
        <v>1284</v>
      </c>
      <c r="C19" s="79" t="s">
        <v>143</v>
      </c>
      <c r="D19" s="79" t="s">
        <v>153</v>
      </c>
    </row>
    <row r="20" spans="1:7" ht="16.5" customHeight="1" x14ac:dyDescent="0.3">
      <c r="A20" s="76">
        <v>15</v>
      </c>
      <c r="B20" s="75">
        <v>1290</v>
      </c>
      <c r="C20" s="79" t="s">
        <v>144</v>
      </c>
      <c r="D20" s="79" t="s">
        <v>158</v>
      </c>
    </row>
    <row r="21" spans="1:7" ht="16.5" customHeight="1" x14ac:dyDescent="0.3">
      <c r="A21" s="75">
        <v>16</v>
      </c>
      <c r="B21" s="75">
        <v>1304</v>
      </c>
      <c r="C21" s="79" t="s">
        <v>145</v>
      </c>
      <c r="D21" s="79" t="s">
        <v>153</v>
      </c>
    </row>
    <row r="22" spans="1:7" ht="16.5" customHeight="1" x14ac:dyDescent="0.3">
      <c r="A22" s="76">
        <v>17</v>
      </c>
      <c r="B22" s="75">
        <v>1316</v>
      </c>
      <c r="C22" s="79" t="s">
        <v>146</v>
      </c>
      <c r="D22" s="79" t="s">
        <v>156</v>
      </c>
    </row>
    <row r="23" spans="1:7" ht="16.5" customHeight="1" x14ac:dyDescent="0.3">
      <c r="A23" s="76">
        <v>18</v>
      </c>
      <c r="B23" s="75">
        <v>1336</v>
      </c>
      <c r="C23" s="79" t="s">
        <v>147</v>
      </c>
      <c r="D23" s="79" t="s">
        <v>155</v>
      </c>
    </row>
    <row r="24" spans="1:7" ht="16.5" customHeight="1" x14ac:dyDescent="0.3">
      <c r="A24" s="75">
        <v>19</v>
      </c>
      <c r="B24" s="75">
        <v>1339</v>
      </c>
      <c r="C24" s="79" t="s">
        <v>148</v>
      </c>
      <c r="D24" s="79" t="s">
        <v>156</v>
      </c>
    </row>
    <row r="25" spans="1:7" ht="16.5" customHeight="1" x14ac:dyDescent="0.3">
      <c r="A25" s="76">
        <v>20</v>
      </c>
      <c r="B25" s="75">
        <v>1350</v>
      </c>
      <c r="C25" s="79" t="s">
        <v>149</v>
      </c>
      <c r="D25" s="79" t="s">
        <v>156</v>
      </c>
    </row>
    <row r="26" spans="1:7" ht="16.5" customHeight="1" x14ac:dyDescent="0.3">
      <c r="A26" s="76">
        <v>21</v>
      </c>
      <c r="B26" s="75">
        <v>1357</v>
      </c>
      <c r="C26" s="79" t="s">
        <v>150</v>
      </c>
      <c r="D26" s="79" t="s">
        <v>156</v>
      </c>
    </row>
    <row r="27" spans="1:7" ht="16.5" customHeight="1" x14ac:dyDescent="0.3">
      <c r="A27" s="75">
        <v>22</v>
      </c>
      <c r="B27" s="75">
        <v>1360</v>
      </c>
      <c r="C27" s="79" t="s">
        <v>151</v>
      </c>
      <c r="D27" s="79" t="s">
        <v>155</v>
      </c>
    </row>
    <row r="28" spans="1:7" ht="16.5" customHeight="1" x14ac:dyDescent="0.3">
      <c r="A28" s="76">
        <v>23</v>
      </c>
      <c r="B28" s="75">
        <v>1372</v>
      </c>
      <c r="C28" s="79" t="s">
        <v>152</v>
      </c>
      <c r="D28" s="79" t="s">
        <v>153</v>
      </c>
    </row>
    <row r="29" spans="1:7" ht="16.5" customHeight="1" x14ac:dyDescent="0.3">
      <c r="A29" s="81"/>
      <c r="B29" s="82"/>
      <c r="C29" s="80"/>
      <c r="D29" s="80"/>
    </row>
    <row r="30" spans="1:7" s="67" customFormat="1" ht="16.5" customHeight="1" x14ac:dyDescent="0.25">
      <c r="A30" s="105" t="s">
        <v>73</v>
      </c>
      <c r="B30" s="105"/>
      <c r="C30" s="65"/>
      <c r="D30" s="66" t="s">
        <v>125</v>
      </c>
      <c r="E30" s="66"/>
      <c r="F30" s="66"/>
      <c r="G30" s="66"/>
    </row>
    <row r="31" spans="1:7" s="67" customFormat="1" ht="16.5" customHeight="1" x14ac:dyDescent="0.25">
      <c r="A31" s="68"/>
      <c r="B31" s="68"/>
      <c r="C31" s="65"/>
      <c r="D31" s="66"/>
      <c r="E31" s="66"/>
      <c r="F31" s="66"/>
      <c r="G31" s="66"/>
    </row>
    <row r="32" spans="1:7" s="67" customFormat="1" ht="16.5" customHeight="1" x14ac:dyDescent="0.25">
      <c r="C32" s="65"/>
      <c r="D32" s="66"/>
      <c r="E32" s="66"/>
      <c r="F32" s="66"/>
      <c r="G32" s="66"/>
    </row>
    <row r="33" spans="1:7" s="67" customFormat="1" ht="16.5" customHeight="1" x14ac:dyDescent="0.25">
      <c r="A33" s="101" t="s">
        <v>160</v>
      </c>
      <c r="B33" s="101"/>
      <c r="C33" s="65"/>
      <c r="D33" s="69" t="s">
        <v>117</v>
      </c>
      <c r="E33" s="66"/>
      <c r="F33" s="66"/>
      <c r="G33" s="66"/>
    </row>
    <row r="34" spans="1:7" x14ac:dyDescent="0.25">
      <c r="B34" s="67"/>
      <c r="C34" s="65"/>
      <c r="D34" s="66"/>
    </row>
  </sheetData>
  <mergeCells count="6">
    <mergeCell ref="A33:B33"/>
    <mergeCell ref="A1:D1"/>
    <mergeCell ref="A2:D2"/>
    <mergeCell ref="A3:D3"/>
    <mergeCell ref="A4:D4"/>
    <mergeCell ref="A30:B30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P15" sqref="P15"/>
    </sheetView>
  </sheetViews>
  <sheetFormatPr defaultRowHeight="15" x14ac:dyDescent="0.25"/>
  <cols>
    <col min="1" max="1" width="5.5703125" style="51" customWidth="1"/>
    <col min="2" max="2" width="8.42578125" style="51" customWidth="1"/>
    <col min="3" max="3" width="6.5703125" style="51" customWidth="1"/>
    <col min="4" max="4" width="8.5703125" style="51" customWidth="1"/>
    <col min="5" max="5" width="8.85546875" style="51" customWidth="1"/>
    <col min="6" max="6" width="12.5703125" style="51" bestFit="1" customWidth="1"/>
    <col min="7" max="7" width="11.42578125" style="51" customWidth="1"/>
    <col min="8" max="8" width="10.140625" style="51" customWidth="1"/>
    <col min="9" max="9" width="7.5703125" style="51" customWidth="1"/>
    <col min="10" max="10" width="10.85546875" style="51" customWidth="1"/>
    <col min="11" max="11" width="12.5703125" style="51" customWidth="1"/>
    <col min="12" max="12" width="14.7109375" style="51" customWidth="1"/>
    <col min="13" max="16384" width="9.140625" style="51"/>
  </cols>
  <sheetData>
    <row r="1" spans="1:12" ht="24" customHeight="1" x14ac:dyDescent="0.25">
      <c r="A1" s="106" t="s">
        <v>121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s="53" customFormat="1" ht="43.5" customHeight="1" x14ac:dyDescent="0.25">
      <c r="A2" s="52" t="s">
        <v>0</v>
      </c>
      <c r="B2" s="52" t="s">
        <v>1</v>
      </c>
      <c r="C2" s="52" t="s">
        <v>2</v>
      </c>
      <c r="D2" s="52" t="s">
        <v>3</v>
      </c>
      <c r="E2" s="52" t="s">
        <v>4</v>
      </c>
      <c r="F2" s="52" t="s">
        <v>126</v>
      </c>
      <c r="G2" s="52" t="s">
        <v>67</v>
      </c>
      <c r="H2" s="52" t="s">
        <v>129</v>
      </c>
      <c r="I2" s="52" t="s">
        <v>128</v>
      </c>
      <c r="J2" s="52" t="s">
        <v>127</v>
      </c>
      <c r="K2" s="52"/>
      <c r="L2" s="52" t="s">
        <v>49</v>
      </c>
    </row>
    <row r="3" spans="1:12" x14ac:dyDescent="0.25">
      <c r="A3" s="54">
        <v>1</v>
      </c>
      <c r="B3" s="36">
        <v>45658</v>
      </c>
      <c r="C3" s="54">
        <v>31</v>
      </c>
      <c r="D3" s="55">
        <v>4</v>
      </c>
      <c r="E3" s="54">
        <v>2</v>
      </c>
      <c r="F3" s="54">
        <f>C3-D3-E3</f>
        <v>25</v>
      </c>
      <c r="G3" s="54">
        <v>441</v>
      </c>
      <c r="H3" s="54">
        <f>F3*G3</f>
        <v>11025</v>
      </c>
      <c r="I3" s="54"/>
      <c r="J3" s="54"/>
      <c r="K3" s="54"/>
      <c r="L3" s="56" t="s">
        <v>120</v>
      </c>
    </row>
    <row r="4" spans="1:12" x14ac:dyDescent="0.25">
      <c r="A4" s="54">
        <v>2</v>
      </c>
      <c r="B4" s="36">
        <v>45689</v>
      </c>
      <c r="C4" s="54">
        <v>28</v>
      </c>
      <c r="D4" s="54">
        <v>4</v>
      </c>
      <c r="E4" s="54">
        <v>0</v>
      </c>
      <c r="F4" s="54">
        <f t="shared" ref="F4:F8" si="0">C4-D4-E4</f>
        <v>24</v>
      </c>
      <c r="G4" s="54">
        <v>458</v>
      </c>
      <c r="H4" s="54">
        <f t="shared" ref="H4:H8" si="1">F4*G4</f>
        <v>10992</v>
      </c>
      <c r="I4" s="54">
        <v>26.5</v>
      </c>
      <c r="J4" s="54">
        <f>H4-I4</f>
        <v>10965.5</v>
      </c>
      <c r="K4" s="54"/>
      <c r="L4" s="54"/>
    </row>
    <row r="5" spans="1:12" x14ac:dyDescent="0.25">
      <c r="A5" s="54">
        <v>3</v>
      </c>
      <c r="B5" s="36">
        <v>45717</v>
      </c>
      <c r="C5" s="54">
        <v>31</v>
      </c>
      <c r="D5" s="54">
        <v>5</v>
      </c>
      <c r="E5" s="54">
        <v>0</v>
      </c>
      <c r="F5" s="54">
        <f t="shared" si="0"/>
        <v>26</v>
      </c>
      <c r="G5" s="54">
        <v>463</v>
      </c>
      <c r="H5" s="54">
        <f t="shared" si="1"/>
        <v>12038</v>
      </c>
      <c r="I5" s="54">
        <v>49</v>
      </c>
      <c r="J5" s="54">
        <f>H5-I5</f>
        <v>11989</v>
      </c>
      <c r="K5" s="54"/>
      <c r="L5" s="54"/>
    </row>
    <row r="6" spans="1:12" x14ac:dyDescent="0.25">
      <c r="A6" s="54">
        <v>4</v>
      </c>
      <c r="B6" s="36">
        <v>45748</v>
      </c>
      <c r="C6" s="54">
        <v>30</v>
      </c>
      <c r="D6" s="54">
        <v>4</v>
      </c>
      <c r="E6" s="54">
        <v>3</v>
      </c>
      <c r="F6" s="54">
        <f t="shared" si="0"/>
        <v>23</v>
      </c>
      <c r="G6" s="54">
        <v>454</v>
      </c>
      <c r="H6" s="54">
        <f t="shared" si="1"/>
        <v>10442</v>
      </c>
      <c r="I6" s="54">
        <v>64</v>
      </c>
      <c r="J6" s="54">
        <f>H6-I6</f>
        <v>10378</v>
      </c>
      <c r="K6" s="54"/>
      <c r="L6" s="56" t="s">
        <v>118</v>
      </c>
    </row>
    <row r="7" spans="1:12" x14ac:dyDescent="0.25">
      <c r="A7" s="54">
        <v>5</v>
      </c>
      <c r="B7" s="36">
        <v>45778</v>
      </c>
      <c r="C7" s="54">
        <v>31</v>
      </c>
      <c r="D7" s="54">
        <v>4</v>
      </c>
      <c r="E7" s="54">
        <v>1</v>
      </c>
      <c r="F7" s="54">
        <f t="shared" si="0"/>
        <v>26</v>
      </c>
      <c r="G7" s="54">
        <v>443</v>
      </c>
      <c r="H7" s="54">
        <f t="shared" si="1"/>
        <v>11518</v>
      </c>
      <c r="I7" s="54">
        <v>65.5</v>
      </c>
      <c r="J7" s="54">
        <f>H7-I7</f>
        <v>11452.5</v>
      </c>
      <c r="K7" s="54"/>
      <c r="L7" s="56" t="s">
        <v>119</v>
      </c>
    </row>
    <row r="8" spans="1:12" x14ac:dyDescent="0.25">
      <c r="A8" s="54">
        <v>6</v>
      </c>
      <c r="B8" s="36">
        <v>45809</v>
      </c>
      <c r="C8" s="54">
        <v>30</v>
      </c>
      <c r="D8" s="54">
        <v>5</v>
      </c>
      <c r="E8" s="54">
        <v>0</v>
      </c>
      <c r="F8" s="54">
        <f t="shared" si="0"/>
        <v>25</v>
      </c>
      <c r="G8" s="54">
        <v>449</v>
      </c>
      <c r="H8" s="54">
        <f t="shared" si="1"/>
        <v>11225</v>
      </c>
      <c r="I8" s="54">
        <v>59</v>
      </c>
      <c r="J8" s="54">
        <f>H8-I8</f>
        <v>11166</v>
      </c>
      <c r="K8" s="54"/>
      <c r="L8" s="54"/>
    </row>
    <row r="9" spans="1:12" x14ac:dyDescent="0.25">
      <c r="B9" s="57"/>
      <c r="F9" s="58">
        <f>SUM(F3:F8)</f>
        <v>149</v>
      </c>
      <c r="G9" s="58">
        <f>SUM(G3:G8)</f>
        <v>2708</v>
      </c>
      <c r="H9" s="51">
        <f>SUM(H3:H8)</f>
        <v>67240</v>
      </c>
      <c r="J9" s="59">
        <f>AVERAGE(J4:J8)</f>
        <v>11190.2</v>
      </c>
      <c r="K9" s="59"/>
    </row>
    <row r="10" spans="1:12" x14ac:dyDescent="0.25">
      <c r="B10" s="57"/>
      <c r="H10" s="51">
        <f>H9*8</f>
        <v>537920</v>
      </c>
      <c r="J10" s="51">
        <f>J9*8</f>
        <v>89521.600000000006</v>
      </c>
    </row>
    <row r="11" spans="1:12" x14ac:dyDescent="0.25">
      <c r="B11" s="57"/>
      <c r="H11" s="51">
        <v>97.25</v>
      </c>
      <c r="J11" s="51">
        <v>97.25</v>
      </c>
    </row>
    <row r="12" spans="1:12" x14ac:dyDescent="0.25">
      <c r="B12" s="57"/>
      <c r="H12" s="51">
        <f>H11+H10</f>
        <v>538017.25</v>
      </c>
      <c r="J12" s="51">
        <f>J11+J10</f>
        <v>89618.85</v>
      </c>
    </row>
    <row r="13" spans="1:12" x14ac:dyDescent="0.25">
      <c r="B13" s="57"/>
      <c r="J13" s="51">
        <f>J12/8</f>
        <v>11202.356250000001</v>
      </c>
      <c r="K13" s="51">
        <f>J13/48</f>
        <v>233.38242187500001</v>
      </c>
      <c r="L13" s="51">
        <f>K13*8</f>
        <v>1867.059375</v>
      </c>
    </row>
    <row r="14" spans="1:12" x14ac:dyDescent="0.25">
      <c r="B14" s="57"/>
      <c r="L14" s="51">
        <f>L13/37</f>
        <v>50.461064189189187</v>
      </c>
    </row>
  </sheetData>
  <mergeCells count="1">
    <mergeCell ref="A1:L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13" sqref="H13"/>
    </sheetView>
  </sheetViews>
  <sheetFormatPr defaultRowHeight="15" x14ac:dyDescent="0.25"/>
  <cols>
    <col min="1" max="1" width="5.7109375" style="35" customWidth="1"/>
    <col min="2" max="2" width="8.85546875" style="35" customWidth="1"/>
    <col min="3" max="3" width="11.140625" style="35" customWidth="1"/>
    <col min="4" max="5" width="9.140625" style="35"/>
    <col min="6" max="6" width="12.85546875" style="35" customWidth="1"/>
    <col min="7" max="16384" width="9.140625" style="35"/>
  </cols>
  <sheetData>
    <row r="1" spans="1:6" ht="18" customHeight="1" thickBot="1" x14ac:dyDescent="0.3">
      <c r="A1" s="107" t="s">
        <v>122</v>
      </c>
      <c r="B1" s="108"/>
      <c r="C1" s="108"/>
      <c r="D1" s="108"/>
      <c r="E1" s="108"/>
      <c r="F1" s="109"/>
    </row>
    <row r="2" spans="1:6" ht="57.75" thickBot="1" x14ac:dyDescent="0.3">
      <c r="A2" s="48" t="s">
        <v>0</v>
      </c>
      <c r="B2" s="49" t="s">
        <v>1</v>
      </c>
      <c r="C2" s="49" t="s">
        <v>5</v>
      </c>
      <c r="D2" s="49" t="s">
        <v>6</v>
      </c>
      <c r="E2" s="49" t="s">
        <v>7</v>
      </c>
      <c r="F2" s="50" t="s">
        <v>123</v>
      </c>
    </row>
    <row r="3" spans="1:6" x14ac:dyDescent="0.25">
      <c r="A3" s="44">
        <v>1</v>
      </c>
      <c r="B3" s="45">
        <v>45658</v>
      </c>
      <c r="C3" s="46">
        <v>441</v>
      </c>
      <c r="D3" s="46">
        <v>16</v>
      </c>
      <c r="E3" s="46">
        <v>21</v>
      </c>
      <c r="F3" s="47">
        <f>C3+D3-E3</f>
        <v>436</v>
      </c>
    </row>
    <row r="4" spans="1:6" x14ac:dyDescent="0.25">
      <c r="A4" s="38">
        <v>2</v>
      </c>
      <c r="B4" s="36">
        <v>45689</v>
      </c>
      <c r="C4" s="37">
        <v>458</v>
      </c>
      <c r="D4" s="37">
        <v>43</v>
      </c>
      <c r="E4" s="37">
        <v>27</v>
      </c>
      <c r="F4" s="39">
        <f t="shared" ref="F4:F8" si="0">C4+D4-E4</f>
        <v>474</v>
      </c>
    </row>
    <row r="5" spans="1:6" x14ac:dyDescent="0.25">
      <c r="A5" s="38">
        <v>3</v>
      </c>
      <c r="B5" s="36">
        <v>45717</v>
      </c>
      <c r="C5" s="37">
        <v>463</v>
      </c>
      <c r="D5" s="37">
        <v>26</v>
      </c>
      <c r="E5" s="37">
        <v>23</v>
      </c>
      <c r="F5" s="39">
        <f t="shared" si="0"/>
        <v>466</v>
      </c>
    </row>
    <row r="6" spans="1:6" x14ac:dyDescent="0.25">
      <c r="A6" s="38">
        <v>4</v>
      </c>
      <c r="B6" s="36">
        <v>45748</v>
      </c>
      <c r="C6" s="37">
        <v>454</v>
      </c>
      <c r="D6" s="37">
        <v>10</v>
      </c>
      <c r="E6" s="37">
        <v>19</v>
      </c>
      <c r="F6" s="39">
        <f t="shared" si="0"/>
        <v>445</v>
      </c>
    </row>
    <row r="7" spans="1:6" x14ac:dyDescent="0.25">
      <c r="A7" s="38">
        <v>5</v>
      </c>
      <c r="B7" s="36">
        <v>45778</v>
      </c>
      <c r="C7" s="37">
        <v>443</v>
      </c>
      <c r="D7" s="37">
        <v>18</v>
      </c>
      <c r="E7" s="37">
        <v>29</v>
      </c>
      <c r="F7" s="39">
        <f t="shared" si="0"/>
        <v>432</v>
      </c>
    </row>
    <row r="8" spans="1:6" ht="15.75" thickBot="1" x14ac:dyDescent="0.3">
      <c r="A8" s="40">
        <v>6</v>
      </c>
      <c r="B8" s="41">
        <v>45809</v>
      </c>
      <c r="C8" s="42">
        <v>449</v>
      </c>
      <c r="D8" s="42">
        <v>32</v>
      </c>
      <c r="E8" s="42">
        <v>26</v>
      </c>
      <c r="F8" s="43">
        <f t="shared" si="0"/>
        <v>455</v>
      </c>
    </row>
    <row r="11" spans="1:6" x14ac:dyDescent="0.25">
      <c r="C11" s="35">
        <f>SUM(C3:C8)</f>
        <v>2708</v>
      </c>
    </row>
    <row r="12" spans="1:6" x14ac:dyDescent="0.25">
      <c r="C12" s="35">
        <f>C11/6</f>
        <v>451.33333333333331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21 - IF</vt:lpstr>
      <vt:lpstr>Form 2 - PSA</vt:lpstr>
      <vt:lpstr>Form 2 - CPSW</vt:lpstr>
      <vt:lpstr>Confirmation List</vt:lpstr>
      <vt:lpstr>Days Calculation</vt:lpstr>
      <vt:lpstr>Employees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2025-07-31T08:17:49Z</dcterms:modified>
</cp:coreProperties>
</file>