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2.4\hr\firthose\salary - Apr'25\"/>
    </mc:Choice>
  </mc:AlternateContent>
  <bookViews>
    <workbookView xWindow="360" yWindow="15" windowWidth="11340" windowHeight="6540" tabRatio="601"/>
  </bookViews>
  <sheets>
    <sheet name="Arrear Salary Sheet" sheetId="6" r:id="rId1"/>
  </sheets>
  <definedNames>
    <definedName name="RNGDETAILS0">'Arrear Salary Sheet'!#REF!</definedName>
  </definedNames>
  <calcPr calcId="162913"/>
</workbook>
</file>

<file path=xl/calcChain.xml><?xml version="1.0" encoding="utf-8"?>
<calcChain xmlns="http://schemas.openxmlformats.org/spreadsheetml/2006/main">
  <c r="AD7" i="6" l="1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C6" i="6"/>
  <c r="C5" i="6"/>
</calcChain>
</file>

<file path=xl/sharedStrings.xml><?xml version="1.0" encoding="utf-8"?>
<sst xmlns="http://schemas.openxmlformats.org/spreadsheetml/2006/main" count="51" uniqueCount="48">
  <si>
    <t>Employee Name</t>
  </si>
  <si>
    <t>Present Days</t>
  </si>
  <si>
    <t>Pay Days</t>
  </si>
  <si>
    <t>Sl. No</t>
  </si>
  <si>
    <t>Grand Total</t>
  </si>
  <si>
    <t>KUN AEROSPACE PVT LTD</t>
  </si>
  <si>
    <t>LOP Reversal Salary Sheet Report for the month of Apr/2025</t>
  </si>
  <si>
    <t>Ref. No.</t>
  </si>
  <si>
    <t>Designation</t>
  </si>
  <si>
    <t>BASIC</t>
  </si>
  <si>
    <t>Arr.BASIC</t>
  </si>
  <si>
    <t>HRA</t>
  </si>
  <si>
    <t>Arr.HRA</t>
  </si>
  <si>
    <t>LTA</t>
  </si>
  <si>
    <t>Arr.LTA</t>
  </si>
  <si>
    <t>MEDI ALLOW</t>
  </si>
  <si>
    <t>Arr.MEDI ALLOW</t>
  </si>
  <si>
    <t>EDU ALLOW</t>
  </si>
  <si>
    <t>Arr.EDU ALLOW</t>
  </si>
  <si>
    <t>ADD HRA</t>
  </si>
  <si>
    <t>Arr.ADD HRA</t>
  </si>
  <si>
    <t>Earning Total</t>
  </si>
  <si>
    <t>Arr Earning Total</t>
  </si>
  <si>
    <t>PF</t>
  </si>
  <si>
    <t>Arr.PF</t>
  </si>
  <si>
    <t>CANTEEN DE</t>
  </si>
  <si>
    <t>Arr.CANTEEN DE</t>
  </si>
  <si>
    <t>Deduction Total</t>
  </si>
  <si>
    <t>Arr Deduction Total</t>
  </si>
  <si>
    <t>Net Amount</t>
  </si>
  <si>
    <t>Arr Net Amount</t>
  </si>
  <si>
    <t>0392</t>
  </si>
  <si>
    <t>TAMILMARAN D</t>
  </si>
  <si>
    <t>Engineer</t>
  </si>
  <si>
    <t>0153</t>
  </si>
  <si>
    <t>Chipral Jasmine S</t>
  </si>
  <si>
    <t>Sr.Technician</t>
  </si>
  <si>
    <t>435010205890</t>
  </si>
  <si>
    <t>KKBK0000958</t>
  </si>
  <si>
    <t>KOTAK MAHINDRA BANK</t>
  </si>
  <si>
    <t>805810110002245</t>
  </si>
  <si>
    <t>BKID0008058</t>
  </si>
  <si>
    <t>BANK OF INDIA</t>
  </si>
  <si>
    <t xml:space="preserve"> Remark</t>
  </si>
  <si>
    <t>PROCESS</t>
  </si>
  <si>
    <t>Bank A/c No</t>
  </si>
  <si>
    <t>Bank IFSC</t>
  </si>
  <si>
    <t>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</si>
</sst>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2" x14ac:knownFonts="1">
    <font>
      <sz val="10"/>
      <name val="Arial"/>
    </font>
    <font>
      <sz val="10"/>
      <name val="Times New Roman"/>
      <family val="1"/>
    </font>
    <font>
      <sz val="10"/>
      <color indexed="9"/>
      <name val="Arial"/>
      <family val="2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 Narrow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7">
    <xf numFmtId="0" fontId="0" fillId="0" borderId="0" xfId="0"/>
    <xf numFmtId="0" fontId="0" fillId="0" borderId="0" xfId="0" applyAlignment="1">
      <alignment horizontal="centerContinuous" vertical="center"/>
    </xf>
    <xf numFmtId="0" fontId="0" fillId="0" borderId="0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Continuous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2" xfId="0" applyFont="1" applyBorder="1"/>
    <xf numFmtId="0" fontId="8" fillId="0" borderId="2" xfId="0" applyFont="1" applyBorder="1" applyAlignment="1">
      <alignment horizontal="left"/>
    </xf>
    <xf numFmtId="178" fontId="8" fillId="0" borderId="2" xfId="0" applyNumberFormat="1" applyFont="1" applyBorder="1" applyAlignment="1">
      <alignment horizontal="right"/>
    </xf>
    <xf numFmtId="4" fontId="8" fillId="0" borderId="2" xfId="0" applyNumberFormat="1" applyFont="1" applyBorder="1" applyAlignment="1">
      <alignment horizontal="right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Continuous" vertical="center"/>
    </xf>
    <xf numFmtId="0" fontId="3" fillId="0" borderId="1" xfId="0" applyFont="1" applyBorder="1" applyAlignment="1">
      <alignment horizontal="left" vertical="top"/>
    </xf>
    <xf numFmtId="0" fontId="2" fillId="0" borderId="0" xfId="0" quotePrefix="1" applyFont="1"/>
    <xf numFmtId="0" fontId="6" fillId="0" borderId="0" xfId="0" quotePrefix="1" applyFont="1"/>
    <xf numFmtId="0" fontId="3" fillId="0" borderId="3" xfId="0" applyFont="1" applyBorder="1" applyAlignment="1">
      <alignment horizontal="center" vertical="top" wrapText="1"/>
    </xf>
    <xf numFmtId="4" fontId="8" fillId="0" borderId="3" xfId="0" applyNumberFormat="1" applyFont="1" applyBorder="1" applyAlignment="1">
      <alignment horizontal="right"/>
    </xf>
    <xf numFmtId="0" fontId="3" fillId="0" borderId="2" xfId="0" applyFont="1" applyBorder="1"/>
    <xf numFmtId="0" fontId="10" fillId="0" borderId="2" xfId="1" applyFont="1" applyBorder="1"/>
    <xf numFmtId="49" fontId="10" fillId="0" borderId="2" xfId="1" applyNumberFormat="1" applyFont="1" applyBorder="1"/>
    <xf numFmtId="0" fontId="4" fillId="0" borderId="2" xfId="0" applyFont="1" applyBorder="1"/>
    <xf numFmtId="0" fontId="10" fillId="0" borderId="2" xfId="1" applyFont="1" applyBorder="1"/>
    <xf numFmtId="49" fontId="10" fillId="0" borderId="2" xfId="1" applyNumberFormat="1" applyFont="1" applyBorder="1"/>
    <xf numFmtId="0" fontId="11" fillId="0" borderId="2" xfId="1" applyFont="1" applyBorder="1"/>
    <xf numFmtId="0" fontId="10" fillId="0" borderId="2" xfId="1" applyFont="1" applyBorder="1"/>
    <xf numFmtId="0" fontId="11" fillId="0" borderId="2" xfId="1" applyFont="1" applyBorder="1"/>
    <xf numFmtId="4" fontId="3" fillId="0" borderId="2" xfId="0" applyNumberFormat="1" applyFont="1" applyBorder="1" applyAlignment="1">
      <alignment horizontal="right"/>
    </xf>
    <xf numFmtId="178" fontId="3" fillId="0" borderId="2" xfId="0" applyNumberFormat="1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showGridLines="0" showZeros="0" tabSelected="1" workbookViewId="0">
      <selection activeCell="J13" sqref="J13"/>
    </sheetView>
  </sheetViews>
  <sheetFormatPr defaultRowHeight="12.75" x14ac:dyDescent="0.2"/>
  <cols>
    <col min="1" max="1" width="0.5703125" customWidth="1"/>
    <col min="2" max="2" width="0.5703125" style="8" customWidth="1"/>
    <col min="3" max="3" width="8.140625" style="8" bestFit="1" customWidth="1"/>
    <col min="5" max="5" width="13.140625" bestFit="1" customWidth="1"/>
    <col min="6" max="6" width="13.140625" customWidth="1"/>
    <col min="7" max="7" width="8.5703125" customWidth="1"/>
    <col min="8" max="8" width="11.42578125" customWidth="1"/>
    <col min="9" max="9" width="10.7109375" hidden="1" customWidth="1"/>
    <col min="10" max="10" width="10.7109375" customWidth="1"/>
    <col min="11" max="11" width="10.7109375" hidden="1" customWidth="1"/>
    <col min="12" max="12" width="10.7109375" customWidth="1"/>
    <col min="13" max="13" width="10.7109375" hidden="1" customWidth="1"/>
    <col min="14" max="14" width="10.7109375" customWidth="1"/>
    <col min="15" max="15" width="10.7109375" hidden="1" customWidth="1"/>
    <col min="16" max="16" width="10.7109375" customWidth="1"/>
    <col min="17" max="17" width="10.7109375" hidden="1" customWidth="1"/>
    <col min="18" max="18" width="10.7109375" customWidth="1"/>
    <col min="19" max="19" width="10.7109375" hidden="1" customWidth="1"/>
    <col min="20" max="20" width="10.7109375" customWidth="1"/>
    <col min="21" max="21" width="10.7109375" hidden="1" customWidth="1"/>
    <col min="22" max="22" width="10.7109375" customWidth="1"/>
    <col min="23" max="23" width="10.7109375" hidden="1" customWidth="1"/>
    <col min="24" max="24" width="10.7109375" customWidth="1"/>
    <col min="25" max="25" width="10.7109375" hidden="1" customWidth="1"/>
    <col min="26" max="26" width="10.7109375" customWidth="1"/>
    <col min="27" max="27" width="10.7109375" hidden="1" customWidth="1"/>
    <col min="28" max="28" width="10.7109375" customWidth="1"/>
    <col min="29" max="29" width="10.7109375" hidden="1" customWidth="1"/>
    <col min="30" max="30" width="10.7109375" customWidth="1"/>
    <col min="31" max="31" width="14.85546875" bestFit="1" customWidth="1"/>
    <col min="32" max="32" width="13.7109375" bestFit="1" customWidth="1"/>
    <col min="33" max="33" width="22.5703125" bestFit="1" customWidth="1"/>
  </cols>
  <sheetData>
    <row r="1" spans="1:34" ht="3" customHeight="1" x14ac:dyDescent="0.2"/>
    <row r="2" spans="1:34" s="2" customFormat="1" x14ac:dyDescent="0.2">
      <c r="A2"/>
      <c r="B2" s="8"/>
      <c r="C2" s="20" t="s">
        <v>5</v>
      </c>
      <c r="D2" s="6"/>
      <c r="E2" s="3"/>
      <c r="F2" s="3"/>
      <c r="G2" s="3"/>
      <c r="H2" s="3"/>
      <c r="I2" s="3"/>
      <c r="J2" s="3"/>
      <c r="K2" s="4"/>
      <c r="L2" s="4"/>
      <c r="M2" s="4"/>
      <c r="N2" s="4"/>
      <c r="O2" s="5"/>
      <c r="P2" s="6"/>
      <c r="Q2" s="6"/>
      <c r="R2" s="6"/>
      <c r="S2" s="6"/>
      <c r="T2" s="4"/>
      <c r="U2" s="6"/>
      <c r="V2" s="6"/>
      <c r="W2" s="7"/>
      <c r="X2" s="4"/>
      <c r="Y2" s="4"/>
      <c r="Z2" s="4"/>
      <c r="AA2" s="4"/>
      <c r="AB2" s="4"/>
      <c r="AC2" s="4"/>
      <c r="AD2" s="4"/>
    </row>
    <row r="3" spans="1:34" ht="24" customHeight="1" x14ac:dyDescent="0.2">
      <c r="D3" s="19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4" s="15" customFormat="1" ht="38.25" x14ac:dyDescent="0.15">
      <c r="B4" s="16"/>
      <c r="C4" s="17" t="s">
        <v>3</v>
      </c>
      <c r="D4" s="18" t="s">
        <v>7</v>
      </c>
      <c r="E4" s="18" t="s">
        <v>0</v>
      </c>
      <c r="F4" s="18" t="s">
        <v>8</v>
      </c>
      <c r="G4" s="18" t="s">
        <v>2</v>
      </c>
      <c r="H4" s="18" t="s">
        <v>1</v>
      </c>
      <c r="I4" s="18" t="s">
        <v>9</v>
      </c>
      <c r="J4" s="18" t="s">
        <v>10</v>
      </c>
      <c r="K4" s="18" t="s">
        <v>11</v>
      </c>
      <c r="L4" s="18" t="s">
        <v>12</v>
      </c>
      <c r="M4" s="18" t="s">
        <v>13</v>
      </c>
      <c r="N4" s="18" t="s">
        <v>14</v>
      </c>
      <c r="O4" s="18" t="s">
        <v>15</v>
      </c>
      <c r="P4" s="18" t="s">
        <v>16</v>
      </c>
      <c r="Q4" s="18" t="s">
        <v>17</v>
      </c>
      <c r="R4" s="18" t="s">
        <v>18</v>
      </c>
      <c r="S4" s="18" t="s">
        <v>19</v>
      </c>
      <c r="T4" s="18" t="s">
        <v>20</v>
      </c>
      <c r="U4" s="18" t="s">
        <v>21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26</v>
      </c>
      <c r="AA4" s="18" t="s">
        <v>27</v>
      </c>
      <c r="AB4" s="18" t="s">
        <v>28</v>
      </c>
      <c r="AC4" s="18" t="s">
        <v>29</v>
      </c>
      <c r="AD4" s="23" t="s">
        <v>30</v>
      </c>
      <c r="AE4" s="33" t="s">
        <v>45</v>
      </c>
      <c r="AF4" s="33" t="s">
        <v>46</v>
      </c>
      <c r="AG4" s="33" t="s">
        <v>47</v>
      </c>
      <c r="AH4" s="31" t="s">
        <v>43</v>
      </c>
    </row>
    <row r="5" spans="1:34" x14ac:dyDescent="0.2">
      <c r="A5">
        <v>1</v>
      </c>
      <c r="B5" s="21" t="s">
        <v>4</v>
      </c>
      <c r="C5" s="11">
        <f>ROW()-4</f>
        <v>1</v>
      </c>
      <c r="D5" s="12" t="s">
        <v>31</v>
      </c>
      <c r="E5" s="12" t="s">
        <v>32</v>
      </c>
      <c r="F5" s="12" t="s">
        <v>33</v>
      </c>
      <c r="G5" s="13">
        <v>14</v>
      </c>
      <c r="H5" s="13">
        <v>14</v>
      </c>
      <c r="I5" s="14">
        <v>9462</v>
      </c>
      <c r="J5" s="14">
        <v>7792</v>
      </c>
      <c r="K5" s="14">
        <v>5161</v>
      </c>
      <c r="L5" s="14">
        <v>4250</v>
      </c>
      <c r="M5" s="14">
        <v>860</v>
      </c>
      <c r="N5" s="14">
        <v>709</v>
      </c>
      <c r="O5" s="14">
        <v>1204</v>
      </c>
      <c r="P5" s="14">
        <v>992</v>
      </c>
      <c r="Q5" s="14">
        <v>516</v>
      </c>
      <c r="R5" s="14">
        <v>425</v>
      </c>
      <c r="S5" s="14">
        <v>2775</v>
      </c>
      <c r="T5" s="14">
        <v>2285</v>
      </c>
      <c r="U5" s="14">
        <v>19978</v>
      </c>
      <c r="V5" s="14">
        <v>16453</v>
      </c>
      <c r="W5" s="14">
        <v>1445</v>
      </c>
      <c r="X5" s="14">
        <v>1190</v>
      </c>
      <c r="Y5" s="14">
        <v>329</v>
      </c>
      <c r="Z5" s="14">
        <v>271</v>
      </c>
      <c r="AA5" s="14">
        <v>792</v>
      </c>
      <c r="AB5" s="14">
        <v>1461</v>
      </c>
      <c r="AC5" s="14">
        <v>19186</v>
      </c>
      <c r="AD5" s="24">
        <v>14992</v>
      </c>
      <c r="AE5" s="27" t="s">
        <v>37</v>
      </c>
      <c r="AF5" s="26" t="s">
        <v>38</v>
      </c>
      <c r="AG5" s="26" t="s">
        <v>39</v>
      </c>
      <c r="AH5" s="32" t="s">
        <v>44</v>
      </c>
    </row>
    <row r="6" spans="1:34" x14ac:dyDescent="0.2">
      <c r="A6">
        <v>2</v>
      </c>
      <c r="B6" s="21" t="s">
        <v>4</v>
      </c>
      <c r="C6" s="11">
        <f>ROW()-4</f>
        <v>2</v>
      </c>
      <c r="D6" s="12" t="s">
        <v>34</v>
      </c>
      <c r="E6" s="12" t="s">
        <v>35</v>
      </c>
      <c r="F6" s="12" t="s">
        <v>36</v>
      </c>
      <c r="G6" s="13">
        <v>14</v>
      </c>
      <c r="H6" s="13">
        <v>14</v>
      </c>
      <c r="I6" s="14">
        <v>6868</v>
      </c>
      <c r="J6" s="14">
        <v>5657</v>
      </c>
      <c r="K6" s="14">
        <v>3746</v>
      </c>
      <c r="L6" s="14">
        <v>3086</v>
      </c>
      <c r="M6" s="14">
        <v>624</v>
      </c>
      <c r="N6" s="14">
        <v>515</v>
      </c>
      <c r="O6" s="14">
        <v>874</v>
      </c>
      <c r="P6" s="14">
        <v>720</v>
      </c>
      <c r="Q6" s="14">
        <v>375</v>
      </c>
      <c r="R6" s="14">
        <v>308</v>
      </c>
      <c r="S6" s="14">
        <v>1453</v>
      </c>
      <c r="T6" s="14">
        <v>1197</v>
      </c>
      <c r="U6" s="14">
        <v>13940</v>
      </c>
      <c r="V6" s="14">
        <v>11483</v>
      </c>
      <c r="W6" s="14">
        <v>1049</v>
      </c>
      <c r="X6" s="14">
        <v>864</v>
      </c>
      <c r="Y6" s="14">
        <v>329</v>
      </c>
      <c r="Z6" s="14">
        <v>271</v>
      </c>
      <c r="AA6" s="14">
        <v>722</v>
      </c>
      <c r="AB6" s="14">
        <v>1135</v>
      </c>
      <c r="AC6" s="14">
        <v>13218</v>
      </c>
      <c r="AD6" s="24">
        <v>10348</v>
      </c>
      <c r="AE6" s="30" t="s">
        <v>40</v>
      </c>
      <c r="AF6" s="29" t="s">
        <v>41</v>
      </c>
      <c r="AG6" s="29" t="s">
        <v>42</v>
      </c>
      <c r="AH6" s="32" t="s">
        <v>44</v>
      </c>
    </row>
    <row r="7" spans="1:34" s="9" customFormat="1" x14ac:dyDescent="0.2">
      <c r="B7" s="22" t="s">
        <v>4</v>
      </c>
      <c r="C7" s="25"/>
      <c r="D7" s="25"/>
      <c r="E7" s="28"/>
      <c r="F7" s="25"/>
      <c r="G7" s="34">
        <f>SUM(G5:G6)</f>
        <v>28</v>
      </c>
      <c r="H7" s="35">
        <f>SUM(H5:H6)</f>
        <v>28</v>
      </c>
      <c r="I7" s="36">
        <f>SUM(I5:I6)</f>
        <v>16330</v>
      </c>
      <c r="J7" s="36">
        <f>SUM(J5:J6)</f>
        <v>13449</v>
      </c>
      <c r="K7" s="36">
        <f>SUM(K5:K6)</f>
        <v>8907</v>
      </c>
      <c r="L7" s="36">
        <f>SUM(L5:L6)</f>
        <v>7336</v>
      </c>
      <c r="M7" s="36">
        <f>SUM(M5:M6)</f>
        <v>1484</v>
      </c>
      <c r="N7" s="36">
        <f>SUM(N5:N6)</f>
        <v>1224</v>
      </c>
      <c r="O7" s="36">
        <f>SUM(O5:O6)</f>
        <v>2078</v>
      </c>
      <c r="P7" s="36">
        <f>SUM(P5:P6)</f>
        <v>1712</v>
      </c>
      <c r="Q7" s="36">
        <f>SUM(Q5:Q6)</f>
        <v>891</v>
      </c>
      <c r="R7" s="36">
        <f>SUM(R5:R6)</f>
        <v>733</v>
      </c>
      <c r="S7" s="36">
        <f>SUM(S5:S6)</f>
        <v>4228</v>
      </c>
      <c r="T7" s="36">
        <f>SUM(T5:T6)</f>
        <v>3482</v>
      </c>
      <c r="U7" s="36">
        <f>SUM(U5:U6)</f>
        <v>33918</v>
      </c>
      <c r="V7" s="36">
        <f>SUM(V5:V6)</f>
        <v>27936</v>
      </c>
      <c r="W7" s="36">
        <f>SUM(W5:W6)</f>
        <v>2494</v>
      </c>
      <c r="X7" s="36">
        <f>SUM(X5:X6)</f>
        <v>2054</v>
      </c>
      <c r="Y7" s="36">
        <f>SUM(Y5:Y6)</f>
        <v>658</v>
      </c>
      <c r="Z7" s="36">
        <f>SUM(Z5:Z6)</f>
        <v>542</v>
      </c>
      <c r="AA7" s="36">
        <f>SUM(AA5:AA6)</f>
        <v>1514</v>
      </c>
      <c r="AB7" s="36">
        <f>SUM(AB5:AB6)</f>
        <v>2596</v>
      </c>
      <c r="AC7" s="36">
        <f>SUM(AC5:AC6)</f>
        <v>32404</v>
      </c>
      <c r="AD7" s="36">
        <f>SUM(AD5:AD6)</f>
        <v>25340</v>
      </c>
      <c r="AE7" s="25"/>
      <c r="AF7" s="25"/>
      <c r="AG7" s="25"/>
      <c r="AH7" s="25"/>
    </row>
    <row r="8" spans="1:34" s="10" customFormat="1" x14ac:dyDescent="0.2"/>
    <row r="9" spans="1:34" s="10" customFormat="1" x14ac:dyDescent="0.2"/>
    <row r="10" spans="1:34" s="10" customFormat="1" x14ac:dyDescent="0.2"/>
    <row r="11" spans="1:34" s="10" customFormat="1" x14ac:dyDescent="0.2"/>
    <row r="12" spans="1:34" s="10" customFormat="1" x14ac:dyDescent="0.2"/>
    <row r="13" spans="1:34" s="10" customFormat="1" x14ac:dyDescent="0.2"/>
    <row r="14" spans="1:34" s="10" customFormat="1" x14ac:dyDescent="0.2"/>
    <row r="15" spans="1:34" s="10" customFormat="1" x14ac:dyDescent="0.2"/>
    <row r="16" spans="1:34" s="10" customFormat="1" x14ac:dyDescent="0.2"/>
    <row r="17" s="10" customFormat="1" x14ac:dyDescent="0.2"/>
    <row r="18" s="10" customFormat="1" x14ac:dyDescent="0.2"/>
  </sheetData>
  <phoneticPr fontId="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Arrear Salary Sheet</vt:lpstr>
    </vt:vector>
  </TitlesOfParts>
  <Company>Relyon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Firthous Parveen</cp:lastModifiedBy>
  <cp:lastPrinted>2006-02-01T09:23:49Z</cp:lastPrinted>
  <dcterms:created xsi:type="dcterms:W3CDTF">2005-08-30T04:36:52Z</dcterms:created>
  <dcterms:modified xsi:type="dcterms:W3CDTF">2025-05-10T10:44:45Z</dcterms:modified>
</cp:coreProperties>
</file>