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filterPrivacy="1" defaultThemeVersion="124226"/>
  <xr:revisionPtr revIDLastSave="1" documentId="11_FE9FE312FDA4C42CECC1D279B03B184F59E36711" xr6:coauthVersionLast="47" xr6:coauthVersionMax="47" xr10:uidLastSave="{00D94BD8-09C5-4833-B555-58189ECED76F}"/>
  <bookViews>
    <workbookView xWindow="0" yWindow="0" windowWidth="20490" windowHeight="7320" firstSheet="2" activeTab="2" xr2:uid="{00000000-000D-0000-FFFF-FFFF00000000}"/>
  </bookViews>
  <sheets>
    <sheet name="2022-2023" sheetId="2" r:id="rId1"/>
    <sheet name="2023-2024" sheetId="3" r:id="rId2"/>
    <sheet name="2024-2025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 l="1"/>
  <c r="D18" i="5"/>
  <c r="E18" i="5"/>
  <c r="F18" i="5"/>
  <c r="G18" i="5"/>
  <c r="H18" i="5"/>
  <c r="I18" i="5"/>
  <c r="J18" i="5"/>
  <c r="K18" i="5"/>
  <c r="L18" i="5"/>
  <c r="M18" i="5"/>
  <c r="N18" i="5"/>
  <c r="O18" i="5"/>
  <c r="B18" i="5"/>
  <c r="B25" i="5"/>
  <c r="B26" i="5"/>
  <c r="B27" i="5"/>
  <c r="B28" i="5"/>
  <c r="B29" i="5"/>
  <c r="B30" i="5"/>
  <c r="B32" i="5"/>
  <c r="B33" i="5"/>
  <c r="E31" i="5" l="1"/>
  <c r="F31" i="5"/>
  <c r="G31" i="5"/>
  <c r="H31" i="5"/>
  <c r="I31" i="5"/>
  <c r="J31" i="5"/>
  <c r="K31" i="5"/>
  <c r="L31" i="5"/>
  <c r="M31" i="5"/>
  <c r="N31" i="5"/>
  <c r="O31" i="5"/>
  <c r="D31" i="5"/>
  <c r="B31" i="5" s="1"/>
  <c r="B33" i="3" l="1"/>
  <c r="I32" i="3"/>
  <c r="G32" i="3"/>
  <c r="B32" i="3" s="1"/>
  <c r="J31" i="3" l="1"/>
  <c r="D28" i="2" l="1"/>
  <c r="G6" i="2" l="1"/>
  <c r="E6" i="3"/>
  <c r="B25" i="3" l="1"/>
  <c r="O31" i="3"/>
  <c r="N31" i="3"/>
  <c r="M31" i="3"/>
  <c r="K31" i="3"/>
  <c r="G31" i="3"/>
  <c r="F31" i="3"/>
  <c r="E31" i="3"/>
  <c r="D31" i="3"/>
  <c r="B30" i="3"/>
  <c r="B29" i="3"/>
  <c r="B28" i="3"/>
  <c r="B27" i="3"/>
  <c r="L31" i="3"/>
  <c r="I31" i="3"/>
  <c r="H31" i="3"/>
  <c r="N18" i="3"/>
  <c r="M18" i="3"/>
  <c r="L18" i="3"/>
  <c r="K18" i="3"/>
  <c r="H18" i="3"/>
  <c r="F18" i="3"/>
  <c r="B18" i="3"/>
  <c r="J18" i="3"/>
  <c r="I18" i="3"/>
  <c r="C18" i="3"/>
  <c r="O18" i="3"/>
  <c r="G18" i="3"/>
  <c r="E18" i="3"/>
  <c r="D18" i="3"/>
  <c r="B31" i="3" l="1"/>
  <c r="B26" i="3"/>
  <c r="B27" i="2"/>
  <c r="B29" i="2"/>
  <c r="B30" i="2"/>
  <c r="B25" i="2"/>
  <c r="L28" i="2" l="1"/>
  <c r="O28" i="2" l="1"/>
  <c r="O26" i="2"/>
  <c r="O31" i="2" l="1"/>
  <c r="N28" i="2"/>
  <c r="N26" i="2"/>
  <c r="N31" i="2" l="1"/>
  <c r="M28" i="2"/>
  <c r="M26" i="2"/>
  <c r="M31" i="2" l="1"/>
  <c r="L26" i="2" l="1"/>
  <c r="L31" i="2" s="1"/>
  <c r="K28" i="2" l="1"/>
  <c r="K26" i="2"/>
  <c r="K31" i="2" l="1"/>
  <c r="J28" i="2"/>
  <c r="O12" i="2"/>
  <c r="J26" i="2"/>
  <c r="J31" i="2" l="1"/>
  <c r="I28" i="2"/>
  <c r="I26" i="2"/>
  <c r="I31" i="2" l="1"/>
  <c r="H28" i="2"/>
  <c r="H26" i="2"/>
  <c r="H31" i="2" l="1"/>
  <c r="G28" i="2"/>
  <c r="G26" i="2" l="1"/>
  <c r="G31" i="2" s="1"/>
  <c r="F28" i="2" l="1"/>
  <c r="F26" i="2"/>
  <c r="F31" i="2" s="1"/>
  <c r="E28" i="2" l="1"/>
  <c r="B28" i="2" s="1"/>
  <c r="E26" i="2"/>
  <c r="E31" i="2" l="1"/>
  <c r="D26" i="2" l="1"/>
  <c r="D31" i="2" l="1"/>
  <c r="B31" i="2" s="1"/>
  <c r="B26" i="2"/>
  <c r="O17" i="2"/>
  <c r="O16" i="2" l="1"/>
  <c r="O15" i="2" l="1"/>
  <c r="O13" i="2" l="1"/>
  <c r="O11" i="2" l="1"/>
  <c r="O10" i="2" l="1"/>
  <c r="O9" i="2" l="1"/>
  <c r="O8" i="2" l="1"/>
  <c r="O7" i="2" l="1"/>
  <c r="O6" i="2" l="1"/>
  <c r="J17" i="2" l="1"/>
  <c r="H17" i="2"/>
  <c r="F17" i="2"/>
  <c r="E17" i="2"/>
  <c r="I17" i="2"/>
  <c r="G17" i="2"/>
  <c r="D17" i="2"/>
  <c r="C17" i="2"/>
  <c r="J16" i="2" l="1"/>
  <c r="H16" i="2"/>
  <c r="F16" i="2"/>
  <c r="E16" i="2"/>
  <c r="I16" i="2"/>
  <c r="G16" i="2"/>
  <c r="D16" i="2"/>
  <c r="C16" i="2"/>
  <c r="J15" i="2" l="1"/>
  <c r="H15" i="2"/>
  <c r="F15" i="2"/>
  <c r="E15" i="2"/>
  <c r="I15" i="2" l="1"/>
  <c r="G15" i="2"/>
  <c r="D15" i="2"/>
  <c r="C15" i="2"/>
  <c r="J14" i="2" l="1"/>
  <c r="H14" i="2"/>
  <c r="F14" i="2"/>
  <c r="E14" i="2"/>
  <c r="I14" i="2"/>
  <c r="G14" i="2"/>
  <c r="D14" i="2"/>
  <c r="C14" i="2"/>
  <c r="J13" i="2" l="1"/>
  <c r="H13" i="2"/>
  <c r="F13" i="2"/>
  <c r="E13" i="2"/>
  <c r="I13" i="2"/>
  <c r="G13" i="2"/>
  <c r="D13" i="2"/>
  <c r="C13" i="2"/>
  <c r="I12" i="2" l="1"/>
  <c r="J12" i="2"/>
  <c r="H12" i="2"/>
  <c r="F12" i="2"/>
  <c r="E12" i="2"/>
  <c r="G12" i="2"/>
  <c r="D12" i="2"/>
  <c r="C12" i="2"/>
  <c r="C11" i="2" l="1"/>
  <c r="J11" i="2"/>
  <c r="H11" i="2"/>
  <c r="F11" i="2"/>
  <c r="E11" i="2"/>
  <c r="I11" i="2"/>
  <c r="G11" i="2"/>
  <c r="D11" i="2"/>
  <c r="J10" i="2" l="1"/>
  <c r="H10" i="2"/>
  <c r="F10" i="2"/>
  <c r="E10" i="2"/>
  <c r="I10" i="2"/>
  <c r="G10" i="2"/>
  <c r="D10" i="2"/>
  <c r="C10" i="2"/>
  <c r="I9" i="2" l="1"/>
  <c r="J9" i="2"/>
  <c r="H9" i="2"/>
  <c r="F9" i="2"/>
  <c r="E9" i="2"/>
  <c r="G9" i="2"/>
  <c r="D9" i="2"/>
  <c r="C9" i="2"/>
  <c r="J8" i="2" l="1"/>
  <c r="H8" i="2"/>
  <c r="F8" i="2"/>
  <c r="E8" i="2"/>
  <c r="I8" i="2"/>
  <c r="G8" i="2"/>
  <c r="D8" i="2"/>
  <c r="C8" i="2"/>
  <c r="J7" i="2" l="1"/>
  <c r="H7" i="2"/>
  <c r="F7" i="2"/>
  <c r="E7" i="2"/>
  <c r="I7" i="2"/>
  <c r="G7" i="2"/>
  <c r="D7" i="2"/>
  <c r="C7" i="2"/>
  <c r="I6" i="2" l="1"/>
  <c r="J6" i="2"/>
  <c r="H6" i="2"/>
  <c r="F6" i="2"/>
  <c r="E6" i="2"/>
  <c r="D6" i="2"/>
  <c r="C6" i="2"/>
  <c r="N18" i="2" l="1"/>
  <c r="M18" i="2"/>
  <c r="L18" i="2"/>
  <c r="K18" i="2"/>
  <c r="I18" i="2"/>
  <c r="F18" i="2"/>
  <c r="E18" i="2"/>
  <c r="B18" i="2"/>
  <c r="O18" i="2"/>
  <c r="H18" i="2"/>
  <c r="J18" i="2"/>
  <c r="G18" i="2"/>
  <c r="C18" i="2"/>
  <c r="D18" i="2" l="1"/>
</calcChain>
</file>

<file path=xl/sharedStrings.xml><?xml version="1.0" encoding="utf-8"?>
<sst xmlns="http://schemas.openxmlformats.org/spreadsheetml/2006/main" count="153" uniqueCount="50">
  <si>
    <t>KUN AEROSPACE PRIVATE LIMITED</t>
  </si>
  <si>
    <t xml:space="preserve">      </t>
  </si>
  <si>
    <t>NET WORKING 
DAYS</t>
  </si>
  <si>
    <t>Total No of Trainees/ Appren-tices</t>
  </si>
  <si>
    <t>No of Contract workers</t>
  </si>
  <si>
    <t>NO.OF  MANAGERS
(&amp;Above cadre)</t>
  </si>
  <si>
    <t>NO.OF OFFICE EMPLOYEES (including         field staff, drivers,peons etc)</t>
  </si>
  <si>
    <t>Total ( Male)</t>
  </si>
  <si>
    <t>Total ( Female)</t>
  </si>
  <si>
    <t>Total Mandays worked</t>
  </si>
  <si>
    <t>Total Absent Days</t>
  </si>
  <si>
    <t xml:space="preserve">  (in Pay roll)</t>
  </si>
  <si>
    <t>MALE              workers</t>
  </si>
  <si>
    <t>FEMALE              workers</t>
  </si>
  <si>
    <t>Male</t>
  </si>
  <si>
    <t>Female</t>
  </si>
  <si>
    <t>Ist Day</t>
  </si>
  <si>
    <t>Last Day</t>
  </si>
  <si>
    <r>
      <t>1</t>
    </r>
    <r>
      <rPr>
        <b/>
        <vertAlign val="superscript"/>
        <sz val="9"/>
        <color rgb="FF000000"/>
        <rFont val="Calibri"/>
        <family val="2"/>
        <scheme val="minor"/>
      </rPr>
      <t>st</t>
    </r>
    <r>
      <rPr>
        <b/>
        <sz val="9"/>
        <color rgb="FF000000"/>
        <rFont val="Calibri"/>
        <family val="2"/>
        <scheme val="minor"/>
      </rPr>
      <t xml:space="preserve"> Day</t>
    </r>
  </si>
  <si>
    <t>Total(APR22-Mar 23 )</t>
  </si>
  <si>
    <r>
      <t xml:space="preserve">Average No of </t>
    </r>
    <r>
      <rPr>
        <b/>
        <sz val="11"/>
        <color theme="1"/>
        <rFont val="Calibri"/>
        <family val="2"/>
        <scheme val="minor"/>
      </rPr>
      <t>casual workers</t>
    </r>
    <r>
      <rPr>
        <sz val="11"/>
        <color theme="1"/>
        <rFont val="Calibri"/>
        <family val="2"/>
        <scheme val="minor"/>
      </rPr>
      <t xml:space="preserve"> for 2022-23</t>
    </r>
  </si>
  <si>
    <t xml:space="preserve">                                                                                                           </t>
  </si>
  <si>
    <t xml:space="preserve">Total Salary – 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</si>
  <si>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</si>
  <si>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</si>
  <si>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</si>
  <si>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</si>
  <si>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</si>
  <si>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</si>
  <si>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</si>
  <si>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</si>
  <si>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</si>
  <si>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</si>
  <si>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</si>
  <si>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</si>
  <si>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Total salary of Male workers (Rs)</t>
  </si>
  <si>
    <t>Total salary of Female workers (Rs)</t>
  </si>
  <si>
    <t>Total salary of Managers (Rs)</t>
  </si>
  <si>
    <t>Total Salary of Other Employees(Rs)</t>
  </si>
  <si>
    <t>Total salary of Contract workers (Rs)</t>
  </si>
  <si>
    <t>Total Salary of Casual workers and trainees(Rs)</t>
  </si>
  <si>
    <t>OVERALL SALARY</t>
  </si>
  <si>
    <t>Total PF</t>
  </si>
  <si>
    <t>Total ESI</t>
  </si>
  <si>
    <t>Total Bonus&amp; Exgratia</t>
  </si>
  <si>
    <t>MONTH</t>
  </si>
  <si>
    <t>Total(APR23-Mar 24 )</t>
  </si>
  <si>
    <r>
      <t xml:space="preserve">Average No of </t>
    </r>
    <r>
      <rPr>
        <b/>
        <sz val="11"/>
        <color theme="1"/>
        <rFont val="Calibri"/>
        <family val="2"/>
        <scheme val="minor"/>
      </rPr>
      <t>casual workers</t>
    </r>
    <r>
      <rPr>
        <sz val="11"/>
        <color theme="1"/>
        <rFont val="Calibri"/>
        <family val="2"/>
        <scheme val="minor"/>
      </rPr>
      <t xml:space="preserve"> for 2023-24</t>
    </r>
  </si>
  <si>
    <t>Total(APR24-Mar 25 )</t>
  </si>
  <si>
    <r>
      <t xml:space="preserve">Average No of </t>
    </r>
    <r>
      <rPr>
        <b/>
        <sz val="11"/>
        <color theme="1"/>
        <rFont val="Calibri"/>
        <family val="2"/>
        <scheme val="minor"/>
      </rPr>
      <t>casual workers</t>
    </r>
    <r>
      <rPr>
        <sz val="11"/>
        <color theme="1"/>
        <rFont val="Calibri"/>
        <family val="2"/>
        <scheme val="minor"/>
      </rPr>
      <t xml:space="preserve"> for 2024-25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</si>
</sst>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vertAlign val="superscript"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2" borderId="0" xfId="0" applyFill="1"/>
    <xf numFmtId="0" fontId="1" fillId="0" borderId="0" xfId="0" applyFont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justify" vertical="center" wrapText="1"/>
    </xf>
    <xf numFmtId="0" fontId="0" fillId="0" borderId="10" xfId="0" applyBorder="1" applyAlignment="1">
      <alignment horizontal="justify" vertical="center" wrapText="1"/>
    </xf>
    <xf numFmtId="14" fontId="5" fillId="4" borderId="1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5" fillId="4" borderId="6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10" xfId="0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0" fillId="4" borderId="4" xfId="0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6" fillId="4" borderId="13" xfId="0" applyFont="1" applyFill="1" applyBorder="1" applyAlignment="1">
      <alignment vertical="center" wrapText="1"/>
    </xf>
    <xf numFmtId="0" fontId="7" fillId="0" borderId="0" xfId="0" applyFont="1"/>
    <xf numFmtId="3" fontId="0" fillId="0" borderId="0" xfId="0" applyNumberFormat="1" applyAlignment="1">
      <alignment vertical="center"/>
    </xf>
    <xf numFmtId="0" fontId="5" fillId="4" borderId="14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5" fillId="4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" fontId="0" fillId="0" borderId="6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opLeftCell="A7" workbookViewId="0">
      <selection activeCell="F35" sqref="F35"/>
    </sheetView>
  </sheetViews>
  <sheetFormatPr defaultRowHeight="15"/>
  <cols>
    <col min="1" max="1" width="18.7109375" customWidth="1"/>
    <col min="2" max="2" width="10.140625" bestFit="1" customWidth="1"/>
    <col min="3" max="3" width="8.7109375" customWidth="1"/>
    <col min="4" max="6" width="9" bestFit="1" customWidth="1"/>
    <col min="7" max="10" width="9.140625" customWidth="1"/>
    <col min="11" max="11" width="13" customWidth="1"/>
    <col min="12" max="13" width="9" bestFit="1" customWidth="1"/>
    <col min="14" max="14" width="18.42578125" bestFit="1" customWidth="1"/>
    <col min="15" max="15" width="13.5703125" customWidth="1"/>
  </cols>
  <sheetData>
    <row r="1" spans="1:1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6" s="2" customFormat="1" ht="15.75" customHeight="1">
      <c r="A2" s="53" t="s">
        <v>1</v>
      </c>
      <c r="B2" s="54" t="s">
        <v>2</v>
      </c>
      <c r="C2" s="56"/>
      <c r="D2" s="56"/>
      <c r="E2" s="56"/>
      <c r="F2" s="56"/>
      <c r="G2" s="56"/>
      <c r="H2" s="56"/>
      <c r="I2" s="56"/>
      <c r="J2" s="57"/>
      <c r="K2" s="54" t="s">
        <v>3</v>
      </c>
      <c r="L2" s="54" t="s">
        <v>4</v>
      </c>
      <c r="M2" s="54"/>
      <c r="N2" s="54" t="s">
        <v>5</v>
      </c>
      <c r="O2" s="54" t="s">
        <v>6</v>
      </c>
      <c r="P2" s="1"/>
    </row>
    <row r="3" spans="1:16" s="2" customFormat="1" ht="102.6" customHeight="1">
      <c r="A3" s="53"/>
      <c r="B3" s="54"/>
      <c r="C3" s="58" t="s">
        <v>7</v>
      </c>
      <c r="D3" s="59"/>
      <c r="E3" s="58" t="s">
        <v>8</v>
      </c>
      <c r="F3" s="59"/>
      <c r="G3" s="54" t="s">
        <v>9</v>
      </c>
      <c r="H3" s="54"/>
      <c r="I3" s="54" t="s">
        <v>10</v>
      </c>
      <c r="J3" s="54"/>
      <c r="K3" s="54"/>
      <c r="L3" s="54"/>
      <c r="M3" s="54"/>
      <c r="N3" s="54"/>
      <c r="O3" s="54"/>
      <c r="P3" s="1"/>
    </row>
    <row r="4" spans="1:16" s="2" customFormat="1" ht="30.75" customHeight="1">
      <c r="A4" s="53"/>
      <c r="B4" s="54"/>
      <c r="C4" s="54" t="s">
        <v>11</v>
      </c>
      <c r="D4" s="54"/>
      <c r="E4" s="54" t="s">
        <v>11</v>
      </c>
      <c r="F4" s="54"/>
      <c r="G4" s="54" t="s">
        <v>12</v>
      </c>
      <c r="H4" s="54" t="s">
        <v>13</v>
      </c>
      <c r="I4" s="54" t="s">
        <v>14</v>
      </c>
      <c r="J4" s="54" t="s">
        <v>15</v>
      </c>
      <c r="K4" s="54"/>
      <c r="L4" s="54" t="s">
        <v>12</v>
      </c>
      <c r="M4" s="54" t="s">
        <v>13</v>
      </c>
      <c r="N4" s="54"/>
      <c r="O4" s="54"/>
      <c r="P4" s="1"/>
    </row>
    <row r="5" spans="1:16" s="2" customFormat="1" ht="48.75" customHeight="1">
      <c r="A5" s="53"/>
      <c r="B5" s="55"/>
      <c r="C5" s="3" t="s">
        <v>16</v>
      </c>
      <c r="D5" s="4" t="s">
        <v>17</v>
      </c>
      <c r="E5" s="4" t="s">
        <v>18</v>
      </c>
      <c r="F5" s="4" t="s">
        <v>17</v>
      </c>
      <c r="G5" s="54"/>
      <c r="H5" s="54"/>
      <c r="I5" s="54"/>
      <c r="J5" s="54"/>
      <c r="K5" s="54"/>
      <c r="L5" s="54"/>
      <c r="M5" s="54"/>
      <c r="N5" s="54"/>
      <c r="O5" s="54"/>
      <c r="P5" s="1"/>
    </row>
    <row r="6" spans="1:16" s="24" customFormat="1" ht="15.75" thickBot="1">
      <c r="A6" s="18">
        <v>44652</v>
      </c>
      <c r="B6" s="19">
        <v>23</v>
      </c>
      <c r="C6" s="20">
        <f>241+64+9</f>
        <v>314</v>
      </c>
      <c r="D6" s="20">
        <f>241+73+12</f>
        <v>326</v>
      </c>
      <c r="E6" s="20">
        <f>15+8</f>
        <v>23</v>
      </c>
      <c r="F6" s="20">
        <f>18+10+1</f>
        <v>29</v>
      </c>
      <c r="G6" s="21">
        <f>5068+1438+165</f>
        <v>6671</v>
      </c>
      <c r="H6" s="21">
        <f>330+196+11</f>
        <v>537</v>
      </c>
      <c r="I6" s="20">
        <f>206+110+54</f>
        <v>370</v>
      </c>
      <c r="J6" s="20">
        <f>2+11</f>
        <v>13</v>
      </c>
      <c r="K6" s="20">
        <v>29</v>
      </c>
      <c r="L6" s="19">
        <v>3</v>
      </c>
      <c r="M6" s="19">
        <v>7</v>
      </c>
      <c r="N6" s="19">
        <v>14</v>
      </c>
      <c r="O6" s="22">
        <f>33+8+1</f>
        <v>42</v>
      </c>
      <c r="P6" s="23"/>
    </row>
    <row r="7" spans="1:16" ht="15.75" thickBot="1">
      <c r="A7" s="5">
        <v>44682</v>
      </c>
      <c r="B7" s="19">
        <v>26</v>
      </c>
      <c r="C7" s="30">
        <f>230+75+9</f>
        <v>314</v>
      </c>
      <c r="D7" s="30">
        <f>230+77+15</f>
        <v>322</v>
      </c>
      <c r="E7" s="30">
        <f>15+10+1</f>
        <v>26</v>
      </c>
      <c r="F7" s="30">
        <f>15+11+1</f>
        <v>27</v>
      </c>
      <c r="G7" s="21">
        <f>5483+1799+271</f>
        <v>7553</v>
      </c>
      <c r="H7" s="21">
        <f>338+265+24</f>
        <v>627</v>
      </c>
      <c r="I7" s="20">
        <f>16+148+166</f>
        <v>330</v>
      </c>
      <c r="J7" s="20">
        <f>26+7+1</f>
        <v>34</v>
      </c>
      <c r="K7" s="20">
        <v>26</v>
      </c>
      <c r="L7" s="19">
        <v>5</v>
      </c>
      <c r="M7" s="19">
        <v>6</v>
      </c>
      <c r="N7" s="19">
        <v>13</v>
      </c>
      <c r="O7" s="22">
        <f>33+9+1</f>
        <v>43</v>
      </c>
      <c r="P7" s="6"/>
    </row>
    <row r="8" spans="1:16" ht="16.899999999999999" customHeight="1" thickBot="1">
      <c r="A8" s="5">
        <v>44713</v>
      </c>
      <c r="B8" s="19">
        <v>27</v>
      </c>
      <c r="C8" s="20">
        <f>223+77+7</f>
        <v>307</v>
      </c>
      <c r="D8" s="20">
        <f>223+94+8</f>
        <v>325</v>
      </c>
      <c r="E8" s="20">
        <f>15+11+1</f>
        <v>27</v>
      </c>
      <c r="F8" s="20">
        <f>15+11+1</f>
        <v>27</v>
      </c>
      <c r="G8" s="21">
        <f>5293+2019+166</f>
        <v>7478</v>
      </c>
      <c r="H8" s="21">
        <f>326+270+24</f>
        <v>620</v>
      </c>
      <c r="I8" s="20">
        <f>112+221+32</f>
        <v>365</v>
      </c>
      <c r="J8" s="20">
        <f>38+19+2</f>
        <v>59</v>
      </c>
      <c r="K8" s="20">
        <v>19</v>
      </c>
      <c r="L8" s="19">
        <v>5</v>
      </c>
      <c r="M8" s="19">
        <v>5</v>
      </c>
      <c r="N8" s="19">
        <v>13</v>
      </c>
      <c r="O8" s="22">
        <f>10+33+1</f>
        <v>44</v>
      </c>
      <c r="P8" s="6"/>
    </row>
    <row r="9" spans="1:16" ht="15" customHeight="1" thickBot="1">
      <c r="A9" s="5">
        <v>44743</v>
      </c>
      <c r="B9" s="19">
        <v>25</v>
      </c>
      <c r="C9" s="20">
        <f>221+100+7+11</f>
        <v>339</v>
      </c>
      <c r="D9" s="20">
        <f>221+110+28+11</f>
        <v>370</v>
      </c>
      <c r="E9" s="20">
        <f>14+11+1</f>
        <v>26</v>
      </c>
      <c r="F9" s="20">
        <f>14+12+1</f>
        <v>27</v>
      </c>
      <c r="G9" s="21">
        <f>5163+2440+362+242</f>
        <v>8207</v>
      </c>
      <c r="H9" s="21">
        <f>295+273+22</f>
        <v>590</v>
      </c>
      <c r="I9" s="20">
        <f>112+176+37+36</f>
        <v>361</v>
      </c>
      <c r="J9" s="20">
        <f>25+7+2</f>
        <v>34</v>
      </c>
      <c r="K9" s="20">
        <v>8</v>
      </c>
      <c r="L9" s="19">
        <v>5</v>
      </c>
      <c r="M9" s="19">
        <v>3</v>
      </c>
      <c r="N9" s="19">
        <v>13</v>
      </c>
      <c r="O9" s="22">
        <f>32+10+1</f>
        <v>43</v>
      </c>
      <c r="P9" s="6"/>
    </row>
    <row r="10" spans="1:16" ht="15.75" thickBot="1">
      <c r="A10" s="5">
        <v>44774</v>
      </c>
      <c r="B10" s="19">
        <v>26</v>
      </c>
      <c r="C10" s="20">
        <f>219+96+37</f>
        <v>352</v>
      </c>
      <c r="D10" s="20">
        <f>219+99+40</f>
        <v>358</v>
      </c>
      <c r="E10" s="20">
        <f>14+13</f>
        <v>27</v>
      </c>
      <c r="F10" s="20">
        <f>14+13</f>
        <v>27</v>
      </c>
      <c r="G10" s="21">
        <f>5290+2330+886</f>
        <v>8506</v>
      </c>
      <c r="H10" s="21">
        <f>296+323</f>
        <v>619</v>
      </c>
      <c r="I10" s="20">
        <f>85+161+104</f>
        <v>350</v>
      </c>
      <c r="J10" s="20">
        <f>47+4</f>
        <v>51</v>
      </c>
      <c r="K10" s="20">
        <v>6</v>
      </c>
      <c r="L10" s="19">
        <v>8</v>
      </c>
      <c r="M10" s="19">
        <v>4</v>
      </c>
      <c r="N10" s="19">
        <v>13</v>
      </c>
      <c r="O10" s="22">
        <f>32+8+1</f>
        <v>41</v>
      </c>
      <c r="P10" s="6"/>
    </row>
    <row r="11" spans="1:16" ht="15.75" thickBot="1">
      <c r="A11" s="5">
        <v>44805</v>
      </c>
      <c r="B11" s="19">
        <v>25</v>
      </c>
      <c r="C11" s="20">
        <f>212+90+33</f>
        <v>335</v>
      </c>
      <c r="D11" s="20">
        <f>212+99+42</f>
        <v>353</v>
      </c>
      <c r="E11" s="20">
        <f>14+15+1</f>
        <v>30</v>
      </c>
      <c r="F11" s="20">
        <f>14+15+6</f>
        <v>35</v>
      </c>
      <c r="G11" s="21">
        <f>4853+2125+799</f>
        <v>7777</v>
      </c>
      <c r="H11" s="21">
        <f>281+337+63</f>
        <v>681</v>
      </c>
      <c r="I11" s="20">
        <f>79+196+112</f>
        <v>387</v>
      </c>
      <c r="J11" s="20">
        <f>50+19+7</f>
        <v>76</v>
      </c>
      <c r="K11" s="20">
        <v>9</v>
      </c>
      <c r="L11" s="19">
        <v>4</v>
      </c>
      <c r="M11" s="19">
        <v>6</v>
      </c>
      <c r="N11" s="19">
        <v>13</v>
      </c>
      <c r="O11" s="22">
        <f>31+9+2</f>
        <v>42</v>
      </c>
      <c r="P11" s="6"/>
    </row>
    <row r="12" spans="1:16" ht="15.75" thickBot="1">
      <c r="A12" s="5">
        <v>44835</v>
      </c>
      <c r="B12" s="19">
        <v>22</v>
      </c>
      <c r="C12" s="20">
        <f>211+97+32</f>
        <v>340</v>
      </c>
      <c r="D12" s="20">
        <f>211+98+33</f>
        <v>342</v>
      </c>
      <c r="E12" s="20">
        <f>14+14+6</f>
        <v>34</v>
      </c>
      <c r="F12" s="20">
        <f>14+14+7</f>
        <v>35</v>
      </c>
      <c r="G12" s="21">
        <f>4379+1987+644</f>
        <v>7010</v>
      </c>
      <c r="H12" s="21">
        <f>255+294+98</f>
        <v>647</v>
      </c>
      <c r="I12" s="20">
        <f>117+75+84</f>
        <v>276</v>
      </c>
      <c r="J12" s="20">
        <f>48+7+67</f>
        <v>122</v>
      </c>
      <c r="K12" s="20">
        <v>32</v>
      </c>
      <c r="L12" s="19">
        <v>3</v>
      </c>
      <c r="M12" s="19">
        <v>7</v>
      </c>
      <c r="N12" s="19">
        <v>13</v>
      </c>
      <c r="O12" s="22">
        <f>31+9+2</f>
        <v>42</v>
      </c>
      <c r="P12" s="6"/>
    </row>
    <row r="13" spans="1:16" ht="15.75" thickBot="1">
      <c r="A13" s="5">
        <v>44866</v>
      </c>
      <c r="B13" s="19">
        <v>27</v>
      </c>
      <c r="C13" s="20">
        <f>208+111+33</f>
        <v>352</v>
      </c>
      <c r="D13" s="20">
        <f>208+103+40</f>
        <v>351</v>
      </c>
      <c r="E13" s="20">
        <f>14+14+3</f>
        <v>31</v>
      </c>
      <c r="F13" s="20">
        <f>14+14+4</f>
        <v>32</v>
      </c>
      <c r="G13" s="21">
        <f>5148+2440+794</f>
        <v>8382</v>
      </c>
      <c r="H13" s="21">
        <f>296+335+82</f>
        <v>713</v>
      </c>
      <c r="I13" s="20">
        <f>111+213+173</f>
        <v>497</v>
      </c>
      <c r="J13" s="20">
        <f>73+25+5</f>
        <v>103</v>
      </c>
      <c r="K13" s="20">
        <v>30</v>
      </c>
      <c r="L13" s="19">
        <v>3</v>
      </c>
      <c r="M13" s="19">
        <v>6</v>
      </c>
      <c r="N13" s="19">
        <v>18</v>
      </c>
      <c r="O13" s="22">
        <f>30+10+4</f>
        <v>44</v>
      </c>
      <c r="P13" s="6"/>
    </row>
    <row r="14" spans="1:16" ht="13.9" customHeight="1" thickBot="1">
      <c r="A14" s="5">
        <v>44896</v>
      </c>
      <c r="B14" s="19">
        <v>25</v>
      </c>
      <c r="C14" s="20">
        <f>203+95+34</f>
        <v>332</v>
      </c>
      <c r="D14" s="20">
        <f>203+98+38</f>
        <v>339</v>
      </c>
      <c r="E14" s="20">
        <f>14+14+3</f>
        <v>31</v>
      </c>
      <c r="F14" s="20">
        <f>14+14+6</f>
        <v>34</v>
      </c>
      <c r="G14" s="21">
        <f>4577+2114+774</f>
        <v>7465</v>
      </c>
      <c r="H14" s="21">
        <f>257+315+104</f>
        <v>676</v>
      </c>
      <c r="I14" s="20">
        <f>133+241+95</f>
        <v>469</v>
      </c>
      <c r="J14" s="20">
        <f>75+31+12</f>
        <v>118</v>
      </c>
      <c r="K14" s="20">
        <v>26</v>
      </c>
      <c r="L14" s="19">
        <v>3</v>
      </c>
      <c r="M14" s="19">
        <v>5</v>
      </c>
      <c r="N14" s="19">
        <v>23</v>
      </c>
      <c r="O14" s="22">
        <v>44</v>
      </c>
      <c r="P14" s="6"/>
    </row>
    <row r="15" spans="1:16" ht="15.75" thickBot="1">
      <c r="A15" s="5">
        <v>44927</v>
      </c>
      <c r="B15" s="19">
        <v>25</v>
      </c>
      <c r="C15" s="20">
        <f>201+106+38</f>
        <v>345</v>
      </c>
      <c r="D15" s="20">
        <f>201+110+59</f>
        <v>370</v>
      </c>
      <c r="E15" s="20">
        <f>15+15+5</f>
        <v>35</v>
      </c>
      <c r="F15" s="20">
        <f>15+15+7</f>
        <v>37</v>
      </c>
      <c r="G15" s="21">
        <f>4660+2023+1039</f>
        <v>7722</v>
      </c>
      <c r="H15" s="21">
        <f>242+336+128</f>
        <v>706</v>
      </c>
      <c r="I15" s="20">
        <f>99+229+139</f>
        <v>467</v>
      </c>
      <c r="J15" s="20">
        <f>134+23+14</f>
        <v>171</v>
      </c>
      <c r="K15" s="20">
        <v>16</v>
      </c>
      <c r="L15" s="19">
        <v>3</v>
      </c>
      <c r="M15" s="19">
        <v>6</v>
      </c>
      <c r="N15" s="19">
        <v>23</v>
      </c>
      <c r="O15" s="22">
        <f>30+10+4</f>
        <v>44</v>
      </c>
      <c r="P15" s="6"/>
    </row>
    <row r="16" spans="1:16" ht="15.75" thickBot="1">
      <c r="A16" s="5">
        <v>44958</v>
      </c>
      <c r="B16" s="19">
        <v>26</v>
      </c>
      <c r="C16" s="20">
        <f>201+89+57</f>
        <v>347</v>
      </c>
      <c r="D16" s="20">
        <f>201+90+68</f>
        <v>359</v>
      </c>
      <c r="E16" s="20">
        <f>15+14+8</f>
        <v>37</v>
      </c>
      <c r="F16" s="20">
        <f>15+14+11</f>
        <v>40</v>
      </c>
      <c r="G16" s="21">
        <f>4807+2073+1502</f>
        <v>8382</v>
      </c>
      <c r="H16" s="21">
        <f>243+311+204</f>
        <v>758</v>
      </c>
      <c r="I16" s="20">
        <f>66+136+123</f>
        <v>325</v>
      </c>
      <c r="J16" s="20">
        <f>158+20+30</f>
        <v>208</v>
      </c>
      <c r="K16" s="20">
        <v>18</v>
      </c>
      <c r="L16" s="19">
        <v>2</v>
      </c>
      <c r="M16" s="19">
        <v>7</v>
      </c>
      <c r="N16" s="19">
        <v>23</v>
      </c>
      <c r="O16" s="22">
        <f>30+9+6</f>
        <v>45</v>
      </c>
      <c r="P16" s="6"/>
    </row>
    <row r="17" spans="1:16" ht="15.75" thickBot="1">
      <c r="A17" s="5">
        <v>44986</v>
      </c>
      <c r="B17" s="19">
        <v>24</v>
      </c>
      <c r="C17" s="20">
        <f>200+85+53</f>
        <v>338</v>
      </c>
      <c r="D17" s="20">
        <f>200+87+69</f>
        <v>356</v>
      </c>
      <c r="E17" s="20">
        <f>15+14+9</f>
        <v>38</v>
      </c>
      <c r="F17" s="20">
        <f>15+15+10</f>
        <v>40</v>
      </c>
      <c r="G17" s="21">
        <f>4485+1895+1198</f>
        <v>7578</v>
      </c>
      <c r="H17" s="21">
        <f>242+322+219</f>
        <v>783</v>
      </c>
      <c r="I17" s="20">
        <f>38+69+77</f>
        <v>184</v>
      </c>
      <c r="J17" s="20">
        <f>125+18+15</f>
        <v>158</v>
      </c>
      <c r="K17" s="20">
        <v>12</v>
      </c>
      <c r="L17" s="19">
        <v>3</v>
      </c>
      <c r="M17" s="19">
        <v>7</v>
      </c>
      <c r="N17" s="19">
        <v>23</v>
      </c>
      <c r="O17" s="22">
        <f>30+10+6</f>
        <v>46</v>
      </c>
      <c r="P17" s="6"/>
    </row>
    <row r="18" spans="1:16">
      <c r="A18" s="7" t="s">
        <v>19</v>
      </c>
      <c r="B18" s="8">
        <f>SUM(B6:B17)</f>
        <v>301</v>
      </c>
      <c r="C18" s="8">
        <f t="shared" ref="C18:O18" si="0">SUM(C6:C17)</f>
        <v>4015</v>
      </c>
      <c r="D18" s="8">
        <f t="shared" si="0"/>
        <v>4171</v>
      </c>
      <c r="E18" s="8">
        <f t="shared" si="0"/>
        <v>365</v>
      </c>
      <c r="F18" s="8">
        <f t="shared" si="0"/>
        <v>390</v>
      </c>
      <c r="G18" s="8">
        <f t="shared" si="0"/>
        <v>92731</v>
      </c>
      <c r="H18" s="8">
        <f t="shared" si="0"/>
        <v>7957</v>
      </c>
      <c r="I18" s="8">
        <f t="shared" si="0"/>
        <v>4381</v>
      </c>
      <c r="J18" s="8">
        <f t="shared" si="0"/>
        <v>1147</v>
      </c>
      <c r="K18" s="8">
        <f t="shared" si="0"/>
        <v>231</v>
      </c>
      <c r="L18" s="8">
        <f t="shared" si="0"/>
        <v>47</v>
      </c>
      <c r="M18" s="8">
        <f t="shared" si="0"/>
        <v>69</v>
      </c>
      <c r="N18" s="8">
        <f t="shared" si="0"/>
        <v>202</v>
      </c>
      <c r="O18" s="8">
        <f t="shared" si="0"/>
        <v>520</v>
      </c>
      <c r="P18" s="6"/>
    </row>
    <row r="19" spans="1:16">
      <c r="A19" s="9"/>
    </row>
    <row r="20" spans="1:16" ht="15.75" thickBot="1"/>
    <row r="21" spans="1:16" ht="29.25" customHeight="1" thickBot="1">
      <c r="A21" s="60" t="s">
        <v>20</v>
      </c>
      <c r="B21" s="10" t="s">
        <v>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16" ht="15.75" thickBot="1">
      <c r="A22" s="61"/>
      <c r="B22" s="11" t="s">
        <v>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16">
      <c r="A23" s="9" t="s">
        <v>21</v>
      </c>
      <c r="B23" s="13"/>
    </row>
    <row r="24" spans="1:16" ht="15.75" thickBot="1">
      <c r="A24" s="14" t="s">
        <v>22</v>
      </c>
      <c r="B24" s="13"/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30</v>
      </c>
      <c r="L24" t="s">
        <v>31</v>
      </c>
      <c r="M24" t="s">
        <v>32</v>
      </c>
      <c r="N24" t="s">
        <v>33</v>
      </c>
      <c r="O24" t="s">
        <v>34</v>
      </c>
    </row>
    <row r="25" spans="1:16" ht="37.5" customHeight="1" thickBot="1">
      <c r="A25" s="15" t="s">
        <v>35</v>
      </c>
      <c r="B25" s="28">
        <f t="shared" ref="B25:B31" si="1">SUM(D25:O25)</f>
        <v>71640049</v>
      </c>
      <c r="D25" s="25">
        <v>5124343</v>
      </c>
      <c r="E25" s="25">
        <v>5911093</v>
      </c>
      <c r="F25" s="25">
        <v>5804027</v>
      </c>
      <c r="G25" s="25">
        <v>6341150</v>
      </c>
      <c r="H25" s="25">
        <v>6522714</v>
      </c>
      <c r="I25" s="25">
        <v>6327758</v>
      </c>
      <c r="J25" s="25">
        <v>6340118</v>
      </c>
      <c r="K25" s="25">
        <v>6011428</v>
      </c>
      <c r="L25" s="25">
        <v>5553082</v>
      </c>
      <c r="M25" s="25">
        <v>5706558</v>
      </c>
      <c r="N25" s="25">
        <v>6035017</v>
      </c>
      <c r="O25" s="25">
        <v>5962761</v>
      </c>
    </row>
    <row r="26" spans="1:16" ht="45.75" thickBot="1">
      <c r="A26" s="27" t="s">
        <v>36</v>
      </c>
      <c r="B26" s="28">
        <f t="shared" si="1"/>
        <v>5780861</v>
      </c>
      <c r="D26" s="29">
        <f>260054+128852+5419</f>
        <v>394325</v>
      </c>
      <c r="E26" s="25">
        <f>284612+159446+11600</f>
        <v>455658</v>
      </c>
      <c r="F26" s="25">
        <f>280482+159895+11226</f>
        <v>451603</v>
      </c>
      <c r="G26" s="25">
        <f>271880+170936+11200</f>
        <v>454016</v>
      </c>
      <c r="H26" s="25">
        <f>257762+193708</f>
        <v>451470</v>
      </c>
      <c r="I26" s="25">
        <f>256534+209275+31011</f>
        <v>496820</v>
      </c>
      <c r="J26" s="25">
        <f>256792+218254+54843</f>
        <v>529889</v>
      </c>
      <c r="K26" s="25">
        <f>245402+207163+41137</f>
        <v>493702</v>
      </c>
      <c r="L26" s="25">
        <f>240544+203096+55393</f>
        <v>499033</v>
      </c>
      <c r="M26" s="25">
        <f>204612+222566+64303</f>
        <v>491481</v>
      </c>
      <c r="N26" s="25">
        <f>191035+213035+103532</f>
        <v>507602</v>
      </c>
      <c r="O26" s="25">
        <f>204121+230522+120619</f>
        <v>555262</v>
      </c>
    </row>
    <row r="27" spans="1:16" ht="30.75" thickBot="1">
      <c r="A27" s="27" t="s">
        <v>37</v>
      </c>
      <c r="B27" s="28">
        <f t="shared" si="1"/>
        <v>17021853</v>
      </c>
      <c r="D27" s="25">
        <v>1110694</v>
      </c>
      <c r="E27" s="25">
        <v>1248504</v>
      </c>
      <c r="F27" s="25">
        <v>1248504</v>
      </c>
      <c r="G27" s="25">
        <v>1248504</v>
      </c>
      <c r="H27" s="25">
        <v>1248504</v>
      </c>
      <c r="I27" s="25">
        <v>1248504</v>
      </c>
      <c r="J27" s="25">
        <v>1248504</v>
      </c>
      <c r="K27" s="25">
        <v>1477019</v>
      </c>
      <c r="L27" s="25">
        <v>1735779</v>
      </c>
      <c r="M27" s="25">
        <v>1735779</v>
      </c>
      <c r="N27" s="25">
        <v>1735779</v>
      </c>
      <c r="O27" s="25">
        <v>1735779</v>
      </c>
    </row>
    <row r="28" spans="1:16" ht="35.450000000000003" customHeight="1" thickBot="1">
      <c r="A28" s="27" t="s">
        <v>38</v>
      </c>
      <c r="B28" s="28">
        <f t="shared" si="1"/>
        <v>16321752</v>
      </c>
      <c r="D28" s="25">
        <f>1019593+121944+17550</f>
        <v>1159087</v>
      </c>
      <c r="E28" s="25">
        <f>1202797+143274+19305</f>
        <v>1365376</v>
      </c>
      <c r="F28" s="25">
        <f>1181400+168938+19305</f>
        <v>1369643</v>
      </c>
      <c r="G28" s="25">
        <f>1179107+181896+19305</f>
        <v>1380308</v>
      </c>
      <c r="H28" s="25">
        <f>1161001+148670+19305</f>
        <v>1328976</v>
      </c>
      <c r="I28" s="25">
        <f>1149763+148308+32853</f>
        <v>1330924</v>
      </c>
      <c r="J28" s="25">
        <f>1147198+191513+34305</f>
        <v>1373016</v>
      </c>
      <c r="K28" s="25">
        <f>1132523+198261+48750</f>
        <v>1379534</v>
      </c>
      <c r="L28" s="25">
        <f>1133164+195267+64045</f>
        <v>1392476</v>
      </c>
      <c r="M28" s="25">
        <f>1133164+205415+65122</f>
        <v>1403701</v>
      </c>
      <c r="N28" s="25">
        <f>1132299+195099+90879</f>
        <v>1418277</v>
      </c>
      <c r="O28" s="25">
        <f>1133164+199190+88080</f>
        <v>1420434</v>
      </c>
    </row>
    <row r="29" spans="1:16" ht="45.75" thickBot="1">
      <c r="A29" s="27" t="s">
        <v>39</v>
      </c>
      <c r="B29" s="28">
        <f t="shared" si="1"/>
        <v>1355541</v>
      </c>
      <c r="D29" s="26">
        <v>111199</v>
      </c>
      <c r="E29" s="26">
        <v>115256</v>
      </c>
      <c r="F29" s="26">
        <v>117813</v>
      </c>
      <c r="G29" s="26">
        <v>107485</v>
      </c>
      <c r="H29" s="26">
        <v>102368</v>
      </c>
      <c r="I29" s="26">
        <v>103326</v>
      </c>
      <c r="J29" s="26">
        <v>113954</v>
      </c>
      <c r="K29" s="26">
        <v>106531</v>
      </c>
      <c r="L29" s="26">
        <v>116178</v>
      </c>
      <c r="M29" s="26">
        <v>116899</v>
      </c>
      <c r="N29" s="26">
        <v>117999</v>
      </c>
      <c r="O29" s="26">
        <v>126533</v>
      </c>
    </row>
    <row r="30" spans="1:16" ht="45.75" thickBot="1">
      <c r="A30" s="31" t="s">
        <v>40</v>
      </c>
      <c r="B30" s="28">
        <f t="shared" si="1"/>
        <v>0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1:16" ht="15.75" thickBot="1">
      <c r="A31" s="32" t="s">
        <v>41</v>
      </c>
      <c r="B31" s="28">
        <f t="shared" si="1"/>
        <v>110764515</v>
      </c>
      <c r="D31">
        <f>D25+D26+D27+D28</f>
        <v>7788449</v>
      </c>
      <c r="E31">
        <f t="shared" ref="E31:O31" si="2">E25+E26+E27+E28</f>
        <v>8980631</v>
      </c>
      <c r="F31">
        <f t="shared" si="2"/>
        <v>8873777</v>
      </c>
      <c r="G31">
        <f t="shared" si="2"/>
        <v>9423978</v>
      </c>
      <c r="H31">
        <f t="shared" si="2"/>
        <v>9551664</v>
      </c>
      <c r="I31">
        <f t="shared" si="2"/>
        <v>9404006</v>
      </c>
      <c r="J31">
        <f t="shared" si="2"/>
        <v>9491527</v>
      </c>
      <c r="K31">
        <f t="shared" si="2"/>
        <v>9361683</v>
      </c>
      <c r="L31">
        <f t="shared" si="2"/>
        <v>9180370</v>
      </c>
      <c r="M31">
        <f t="shared" si="2"/>
        <v>9337519</v>
      </c>
      <c r="N31">
        <f t="shared" si="2"/>
        <v>9696675</v>
      </c>
      <c r="O31">
        <f t="shared" si="2"/>
        <v>9674236</v>
      </c>
    </row>
    <row r="32" spans="1:16" ht="15.75" thickBot="1">
      <c r="A32" s="16" t="s">
        <v>42</v>
      </c>
      <c r="B32" s="12"/>
    </row>
    <row r="33" spans="1:15" ht="15.75" thickBot="1">
      <c r="A33" s="17" t="s">
        <v>43</v>
      </c>
      <c r="B33" s="12"/>
    </row>
    <row r="34" spans="1:15" ht="30.75" thickBot="1">
      <c r="A34" s="17" t="s">
        <v>44</v>
      </c>
      <c r="B34" s="12">
        <v>4068512</v>
      </c>
      <c r="D34">
        <v>7788449</v>
      </c>
      <c r="E34">
        <v>8980631</v>
      </c>
      <c r="F34">
        <v>8873777</v>
      </c>
      <c r="G34">
        <v>9423978</v>
      </c>
      <c r="H34">
        <v>9551664</v>
      </c>
      <c r="I34">
        <v>9404006</v>
      </c>
      <c r="J34">
        <v>9491527</v>
      </c>
      <c r="K34">
        <v>9361683</v>
      </c>
      <c r="L34">
        <v>9180370</v>
      </c>
      <c r="M34">
        <v>9337519</v>
      </c>
      <c r="N34">
        <v>9696675</v>
      </c>
      <c r="O34">
        <v>9674236</v>
      </c>
    </row>
  </sheetData>
  <mergeCells count="21">
    <mergeCell ref="J4:J5"/>
    <mergeCell ref="L4:L5"/>
    <mergeCell ref="M4:M5"/>
    <mergeCell ref="A21:A22"/>
    <mergeCell ref="H4:H5"/>
    <mergeCell ref="A1:O1"/>
    <mergeCell ref="A2:A5"/>
    <mergeCell ref="B2:B5"/>
    <mergeCell ref="C2:J2"/>
    <mergeCell ref="K2:K5"/>
    <mergeCell ref="L2:M3"/>
    <mergeCell ref="N2:N5"/>
    <mergeCell ref="O2:O5"/>
    <mergeCell ref="I3:J3"/>
    <mergeCell ref="C3:D3"/>
    <mergeCell ref="G3:H3"/>
    <mergeCell ref="G4:G5"/>
    <mergeCell ref="C4:D4"/>
    <mergeCell ref="E4:F4"/>
    <mergeCell ref="E3:F3"/>
    <mergeCell ref="I4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"/>
  <sheetViews>
    <sheetView topLeftCell="A7" workbookViewId="0">
      <selection activeCell="F8" sqref="F8"/>
    </sheetView>
  </sheetViews>
  <sheetFormatPr defaultRowHeight="15"/>
  <cols>
    <col min="1" max="1" width="18.7109375" customWidth="1"/>
    <col min="2" max="2" width="10.140625" bestFit="1" customWidth="1"/>
    <col min="3" max="3" width="8.7109375" customWidth="1"/>
    <col min="4" max="5" width="10.7109375" bestFit="1" customWidth="1"/>
    <col min="6" max="6" width="9" bestFit="1" customWidth="1"/>
    <col min="7" max="10" width="9.140625" customWidth="1"/>
    <col min="11" max="11" width="13" customWidth="1"/>
    <col min="12" max="13" width="9" bestFit="1" customWidth="1"/>
    <col min="14" max="14" width="18.42578125" bestFit="1" customWidth="1"/>
    <col min="15" max="15" width="13.5703125" customWidth="1"/>
  </cols>
  <sheetData>
    <row r="1" spans="1:1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6" s="2" customFormat="1" ht="15.75" customHeight="1">
      <c r="A2" s="53" t="s">
        <v>45</v>
      </c>
      <c r="B2" s="54" t="s">
        <v>2</v>
      </c>
      <c r="C2" s="56"/>
      <c r="D2" s="56"/>
      <c r="E2" s="56"/>
      <c r="F2" s="56"/>
      <c r="G2" s="56"/>
      <c r="H2" s="56"/>
      <c r="I2" s="56"/>
      <c r="J2" s="57"/>
      <c r="K2" s="54" t="s">
        <v>3</v>
      </c>
      <c r="L2" s="54" t="s">
        <v>4</v>
      </c>
      <c r="M2" s="54"/>
      <c r="N2" s="54" t="s">
        <v>5</v>
      </c>
      <c r="O2" s="54" t="s">
        <v>6</v>
      </c>
      <c r="P2" s="1"/>
    </row>
    <row r="3" spans="1:16" s="2" customFormat="1" ht="102.6" customHeight="1">
      <c r="A3" s="53"/>
      <c r="B3" s="54"/>
      <c r="C3" s="58" t="s">
        <v>7</v>
      </c>
      <c r="D3" s="59"/>
      <c r="E3" s="58" t="s">
        <v>8</v>
      </c>
      <c r="F3" s="59"/>
      <c r="G3" s="54" t="s">
        <v>9</v>
      </c>
      <c r="H3" s="54"/>
      <c r="I3" s="54" t="s">
        <v>10</v>
      </c>
      <c r="J3" s="54"/>
      <c r="K3" s="54"/>
      <c r="L3" s="54"/>
      <c r="M3" s="54"/>
      <c r="N3" s="54"/>
      <c r="O3" s="54"/>
      <c r="P3" s="1"/>
    </row>
    <row r="4" spans="1:16" s="2" customFormat="1" ht="30.75" customHeight="1">
      <c r="A4" s="53"/>
      <c r="B4" s="54"/>
      <c r="C4" s="54" t="s">
        <v>11</v>
      </c>
      <c r="D4" s="54"/>
      <c r="E4" s="54" t="s">
        <v>11</v>
      </c>
      <c r="F4" s="54"/>
      <c r="G4" s="54" t="s">
        <v>12</v>
      </c>
      <c r="H4" s="54" t="s">
        <v>13</v>
      </c>
      <c r="I4" s="54" t="s">
        <v>14</v>
      </c>
      <c r="J4" s="54" t="s">
        <v>15</v>
      </c>
      <c r="K4" s="54"/>
      <c r="L4" s="54" t="s">
        <v>12</v>
      </c>
      <c r="M4" s="54" t="s">
        <v>13</v>
      </c>
      <c r="N4" s="54"/>
      <c r="O4" s="54"/>
      <c r="P4" s="1"/>
    </row>
    <row r="5" spans="1:16" s="2" customFormat="1" ht="48.75" customHeight="1">
      <c r="A5" s="53"/>
      <c r="B5" s="55"/>
      <c r="C5" s="3" t="s">
        <v>16</v>
      </c>
      <c r="D5" s="4" t="s">
        <v>17</v>
      </c>
      <c r="E5" s="4" t="s">
        <v>18</v>
      </c>
      <c r="F5" s="4" t="s">
        <v>17</v>
      </c>
      <c r="G5" s="54"/>
      <c r="H5" s="54"/>
      <c r="I5" s="54"/>
      <c r="J5" s="54"/>
      <c r="K5" s="54"/>
      <c r="L5" s="54"/>
      <c r="M5" s="54"/>
      <c r="N5" s="54"/>
      <c r="O5" s="54"/>
      <c r="P5" s="1"/>
    </row>
    <row r="6" spans="1:16" s="24" customFormat="1">
      <c r="A6" s="18">
        <v>45017</v>
      </c>
      <c r="B6" s="19"/>
      <c r="C6" s="20">
        <v>362</v>
      </c>
      <c r="D6" s="20">
        <v>367</v>
      </c>
      <c r="E6" s="20">
        <f>41</f>
        <v>41</v>
      </c>
      <c r="F6" s="20">
        <v>44</v>
      </c>
      <c r="G6" s="21">
        <v>8212</v>
      </c>
      <c r="H6" s="21">
        <v>851</v>
      </c>
      <c r="I6" s="20">
        <v>581</v>
      </c>
      <c r="J6" s="20">
        <v>264</v>
      </c>
      <c r="K6" s="20">
        <v>12</v>
      </c>
      <c r="L6" s="19">
        <v>0</v>
      </c>
      <c r="M6" s="19">
        <v>0</v>
      </c>
      <c r="N6" s="19">
        <v>25</v>
      </c>
      <c r="O6" s="20">
        <v>4</v>
      </c>
      <c r="P6" s="23"/>
    </row>
    <row r="7" spans="1:16">
      <c r="A7" s="5">
        <v>45047</v>
      </c>
      <c r="B7" s="19"/>
      <c r="C7" s="30">
        <v>347</v>
      </c>
      <c r="D7" s="30">
        <v>376</v>
      </c>
      <c r="E7" s="30">
        <v>38</v>
      </c>
      <c r="F7" s="30">
        <v>38</v>
      </c>
      <c r="G7" s="35">
        <v>8044</v>
      </c>
      <c r="H7" s="21">
        <v>780</v>
      </c>
      <c r="I7" s="34">
        <v>1014</v>
      </c>
      <c r="J7" s="20">
        <v>129</v>
      </c>
      <c r="K7" s="20">
        <v>18</v>
      </c>
      <c r="L7" s="19">
        <v>0</v>
      </c>
      <c r="M7" s="19">
        <v>0</v>
      </c>
      <c r="N7" s="19">
        <v>25</v>
      </c>
      <c r="O7" s="20">
        <v>4</v>
      </c>
      <c r="P7" s="6"/>
    </row>
    <row r="8" spans="1:16" ht="16.899999999999999" customHeight="1">
      <c r="A8" s="5">
        <v>45078</v>
      </c>
      <c r="B8" s="19"/>
      <c r="C8" s="20">
        <v>372</v>
      </c>
      <c r="D8" s="20">
        <v>419</v>
      </c>
      <c r="E8" s="20">
        <v>36</v>
      </c>
      <c r="F8" s="20">
        <v>38</v>
      </c>
      <c r="G8" s="21">
        <v>9384</v>
      </c>
      <c r="H8" s="21">
        <v>806</v>
      </c>
      <c r="I8" s="20">
        <v>1278</v>
      </c>
      <c r="J8" s="20">
        <v>134</v>
      </c>
      <c r="K8" s="20">
        <v>56</v>
      </c>
      <c r="L8" s="19">
        <v>0</v>
      </c>
      <c r="M8" s="19">
        <v>0</v>
      </c>
      <c r="N8" s="19">
        <v>27</v>
      </c>
      <c r="O8" s="20">
        <v>4</v>
      </c>
      <c r="P8" s="6"/>
    </row>
    <row r="9" spans="1:16" ht="15" customHeight="1">
      <c r="A9" s="5">
        <v>45108</v>
      </c>
      <c r="B9" s="19"/>
      <c r="C9" s="20">
        <v>402</v>
      </c>
      <c r="D9" s="20">
        <v>427</v>
      </c>
      <c r="E9" s="20">
        <v>36</v>
      </c>
      <c r="F9" s="20">
        <v>40</v>
      </c>
      <c r="G9" s="21">
        <v>9840</v>
      </c>
      <c r="H9" s="21">
        <v>875</v>
      </c>
      <c r="I9" s="20">
        <v>1067</v>
      </c>
      <c r="J9" s="20">
        <v>151</v>
      </c>
      <c r="K9" s="20">
        <v>64</v>
      </c>
      <c r="L9" s="19">
        <v>0</v>
      </c>
      <c r="M9" s="19">
        <v>0</v>
      </c>
      <c r="N9" s="19">
        <v>29</v>
      </c>
      <c r="O9" s="20">
        <v>4</v>
      </c>
      <c r="P9" s="6"/>
    </row>
    <row r="10" spans="1:16">
      <c r="A10" s="5">
        <v>45139</v>
      </c>
      <c r="B10" s="19"/>
      <c r="C10" s="20">
        <v>408</v>
      </c>
      <c r="D10" s="20">
        <v>426</v>
      </c>
      <c r="E10" s="20">
        <v>39</v>
      </c>
      <c r="F10" s="20">
        <v>44</v>
      </c>
      <c r="G10" s="21">
        <v>9797</v>
      </c>
      <c r="H10" s="21">
        <v>937</v>
      </c>
      <c r="I10" s="20">
        <v>1083</v>
      </c>
      <c r="J10" s="20">
        <v>206</v>
      </c>
      <c r="K10" s="20">
        <v>49</v>
      </c>
      <c r="L10" s="19">
        <v>0</v>
      </c>
      <c r="M10" s="19">
        <v>0</v>
      </c>
      <c r="N10" s="19">
        <v>30</v>
      </c>
      <c r="O10" s="20">
        <v>4</v>
      </c>
      <c r="P10" s="6"/>
    </row>
    <row r="11" spans="1:16">
      <c r="A11" s="5">
        <v>45170</v>
      </c>
      <c r="B11" s="19"/>
      <c r="C11" s="20">
        <v>402</v>
      </c>
      <c r="D11" s="20">
        <v>424</v>
      </c>
      <c r="E11" s="20">
        <v>43</v>
      </c>
      <c r="F11" s="20">
        <v>44</v>
      </c>
      <c r="G11" s="21">
        <v>9518</v>
      </c>
      <c r="H11" s="21">
        <v>960</v>
      </c>
      <c r="I11" s="20">
        <v>1311</v>
      </c>
      <c r="J11" s="20">
        <v>156</v>
      </c>
      <c r="K11" s="20">
        <v>36</v>
      </c>
      <c r="L11" s="19">
        <v>0</v>
      </c>
      <c r="M11" s="19">
        <v>0</v>
      </c>
      <c r="N11" s="19">
        <v>29</v>
      </c>
      <c r="O11" s="20">
        <v>4</v>
      </c>
      <c r="P11" s="6"/>
    </row>
    <row r="12" spans="1:16">
      <c r="A12" s="5">
        <v>45200</v>
      </c>
      <c r="B12" s="19"/>
      <c r="C12" s="20">
        <v>404</v>
      </c>
      <c r="D12" s="20">
        <v>417</v>
      </c>
      <c r="E12" s="20">
        <v>44</v>
      </c>
      <c r="F12" s="20">
        <v>46</v>
      </c>
      <c r="G12" s="21">
        <v>8610</v>
      </c>
      <c r="H12" s="21">
        <v>950</v>
      </c>
      <c r="I12" s="20">
        <v>768</v>
      </c>
      <c r="J12" s="20">
        <v>106</v>
      </c>
      <c r="K12" s="20">
        <v>28</v>
      </c>
      <c r="L12" s="19">
        <v>0</v>
      </c>
      <c r="M12" s="19">
        <v>0</v>
      </c>
      <c r="N12" s="19">
        <v>29</v>
      </c>
      <c r="O12" s="20">
        <v>2</v>
      </c>
      <c r="P12" s="6"/>
    </row>
    <row r="13" spans="1:16">
      <c r="A13" s="5">
        <v>45231</v>
      </c>
      <c r="B13" s="19"/>
      <c r="C13" s="20">
        <v>401</v>
      </c>
      <c r="D13" s="20">
        <v>427</v>
      </c>
      <c r="E13" s="20">
        <v>46</v>
      </c>
      <c r="F13" s="20">
        <v>47</v>
      </c>
      <c r="G13" s="21">
        <v>9286</v>
      </c>
      <c r="H13" s="21">
        <v>1018</v>
      </c>
      <c r="I13" s="20">
        <v>1112</v>
      </c>
      <c r="J13" s="20">
        <v>134</v>
      </c>
      <c r="K13" s="20">
        <v>4</v>
      </c>
      <c r="L13" s="19">
        <v>0</v>
      </c>
      <c r="M13" s="19">
        <v>0</v>
      </c>
      <c r="N13" s="19">
        <v>29</v>
      </c>
      <c r="O13" s="20">
        <v>2</v>
      </c>
      <c r="P13" s="6"/>
    </row>
    <row r="14" spans="1:16" ht="13.9" customHeight="1">
      <c r="A14" s="5">
        <v>45261</v>
      </c>
      <c r="B14" s="19"/>
      <c r="C14" s="20">
        <v>418</v>
      </c>
      <c r="D14" s="20">
        <v>430</v>
      </c>
      <c r="E14" s="20">
        <v>45</v>
      </c>
      <c r="F14" s="20">
        <v>47</v>
      </c>
      <c r="G14" s="21">
        <v>9311</v>
      </c>
      <c r="H14" s="21">
        <v>990</v>
      </c>
      <c r="I14" s="20">
        <v>1069</v>
      </c>
      <c r="J14" s="20">
        <v>163</v>
      </c>
      <c r="K14" s="20">
        <v>14</v>
      </c>
      <c r="L14" s="19">
        <v>0</v>
      </c>
      <c r="M14" s="19">
        <v>0</v>
      </c>
      <c r="N14" s="19">
        <v>29</v>
      </c>
      <c r="O14" s="20">
        <v>2</v>
      </c>
      <c r="P14" s="6"/>
    </row>
    <row r="15" spans="1:16">
      <c r="A15" s="5">
        <v>45292</v>
      </c>
      <c r="B15" s="19"/>
      <c r="C15" s="20">
        <v>415</v>
      </c>
      <c r="D15" s="20">
        <v>429</v>
      </c>
      <c r="E15" s="20">
        <v>48</v>
      </c>
      <c r="F15" s="20">
        <v>49</v>
      </c>
      <c r="G15" s="21">
        <v>9298</v>
      </c>
      <c r="H15" s="21">
        <v>1078</v>
      </c>
      <c r="I15" s="20">
        <v>1364</v>
      </c>
      <c r="J15" s="20">
        <v>119</v>
      </c>
      <c r="K15" s="20">
        <v>13</v>
      </c>
      <c r="L15" s="19">
        <v>0</v>
      </c>
      <c r="M15" s="19">
        <v>0</v>
      </c>
      <c r="N15" s="19">
        <v>29</v>
      </c>
      <c r="O15" s="20">
        <v>2</v>
      </c>
      <c r="P15" s="6"/>
    </row>
    <row r="16" spans="1:16">
      <c r="A16" s="5">
        <v>45323</v>
      </c>
      <c r="B16" s="19"/>
      <c r="C16" s="20">
        <v>419</v>
      </c>
      <c r="D16" s="20">
        <v>455</v>
      </c>
      <c r="E16" s="20">
        <v>39</v>
      </c>
      <c r="F16" s="20">
        <v>46</v>
      </c>
      <c r="G16" s="21">
        <v>9727</v>
      </c>
      <c r="H16" s="21">
        <v>987</v>
      </c>
      <c r="I16" s="20">
        <v>550</v>
      </c>
      <c r="J16" s="20">
        <v>72</v>
      </c>
      <c r="K16" s="20">
        <v>6</v>
      </c>
      <c r="L16" s="19">
        <v>0</v>
      </c>
      <c r="M16" s="19">
        <v>0</v>
      </c>
      <c r="N16" s="19">
        <v>27</v>
      </c>
      <c r="O16" s="20">
        <v>2</v>
      </c>
      <c r="P16" s="6"/>
    </row>
    <row r="17" spans="1:16">
      <c r="A17" s="5">
        <v>45352</v>
      </c>
      <c r="B17" s="19"/>
      <c r="C17" s="20">
        <v>420</v>
      </c>
      <c r="D17" s="20">
        <v>445</v>
      </c>
      <c r="E17" s="20">
        <v>53</v>
      </c>
      <c r="F17" s="20">
        <v>55</v>
      </c>
      <c r="G17" s="21">
        <v>11859</v>
      </c>
      <c r="H17" s="21">
        <v>1425</v>
      </c>
      <c r="I17" s="20">
        <v>432</v>
      </c>
      <c r="J17" s="20">
        <v>87</v>
      </c>
      <c r="K17" s="20">
        <v>15</v>
      </c>
      <c r="L17" s="19">
        <v>0</v>
      </c>
      <c r="M17" s="19">
        <v>0</v>
      </c>
      <c r="N17" s="19">
        <v>27</v>
      </c>
      <c r="O17" s="20">
        <v>2</v>
      </c>
      <c r="P17" s="6"/>
    </row>
    <row r="18" spans="1:16">
      <c r="A18" s="7" t="s">
        <v>46</v>
      </c>
      <c r="B18" s="8">
        <f>SUM(B6:B17)</f>
        <v>0</v>
      </c>
      <c r="C18" s="8">
        <f t="shared" ref="C18:O18" si="0">SUM(C6:C17)</f>
        <v>4770</v>
      </c>
      <c r="D18" s="8">
        <f t="shared" si="0"/>
        <v>5042</v>
      </c>
      <c r="E18" s="8">
        <f t="shared" si="0"/>
        <v>508</v>
      </c>
      <c r="F18" s="8">
        <f t="shared" si="0"/>
        <v>538</v>
      </c>
      <c r="G18" s="8">
        <f t="shared" si="0"/>
        <v>112886</v>
      </c>
      <c r="H18" s="8">
        <f t="shared" si="0"/>
        <v>11657</v>
      </c>
      <c r="I18" s="8">
        <f t="shared" si="0"/>
        <v>11629</v>
      </c>
      <c r="J18" s="8">
        <f t="shared" si="0"/>
        <v>1721</v>
      </c>
      <c r="K18" s="8">
        <f t="shared" si="0"/>
        <v>315</v>
      </c>
      <c r="L18" s="8">
        <f t="shared" si="0"/>
        <v>0</v>
      </c>
      <c r="M18" s="8">
        <f t="shared" si="0"/>
        <v>0</v>
      </c>
      <c r="N18" s="8">
        <f t="shared" si="0"/>
        <v>335</v>
      </c>
      <c r="O18" s="8">
        <f t="shared" si="0"/>
        <v>36</v>
      </c>
      <c r="P18" s="6"/>
    </row>
    <row r="19" spans="1:16">
      <c r="A19" s="9"/>
    </row>
    <row r="20" spans="1:16" ht="15.75" thickBot="1"/>
    <row r="21" spans="1:16" ht="29.25" customHeight="1" thickBot="1">
      <c r="A21" s="60" t="s">
        <v>47</v>
      </c>
      <c r="B21" s="10" t="s">
        <v>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16" ht="15.75" thickBot="1">
      <c r="A22" s="61"/>
      <c r="B22" s="11" t="s">
        <v>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16">
      <c r="A23" s="9" t="s">
        <v>21</v>
      </c>
      <c r="B23" s="13"/>
    </row>
    <row r="24" spans="1:16" ht="15.75" thickBot="1">
      <c r="A24" s="14" t="s">
        <v>22</v>
      </c>
      <c r="B24" s="13"/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30</v>
      </c>
      <c r="L24" t="s">
        <v>31</v>
      </c>
      <c r="M24" t="s">
        <v>32</v>
      </c>
      <c r="N24" t="s">
        <v>33</v>
      </c>
      <c r="O24" t="s">
        <v>34</v>
      </c>
    </row>
    <row r="25" spans="1:16" ht="39.75" customHeight="1" thickBot="1">
      <c r="A25" s="15" t="s">
        <v>35</v>
      </c>
      <c r="B25" s="28">
        <f>SUM(D25:O25)</f>
        <v>98119947</v>
      </c>
      <c r="D25" s="25">
        <v>7056127</v>
      </c>
      <c r="E25" s="25">
        <v>6978202</v>
      </c>
      <c r="F25" s="25">
        <v>7464239</v>
      </c>
      <c r="G25" s="25">
        <v>8480019</v>
      </c>
      <c r="H25" s="25">
        <v>8546485</v>
      </c>
      <c r="I25" s="25">
        <v>8326491</v>
      </c>
      <c r="J25" s="25">
        <v>8495235</v>
      </c>
      <c r="K25" s="25">
        <v>8383274</v>
      </c>
      <c r="L25" s="25">
        <v>8455683</v>
      </c>
      <c r="M25" s="25">
        <v>8299858</v>
      </c>
      <c r="N25" s="25">
        <v>8775818</v>
      </c>
      <c r="O25" s="25">
        <v>8858516</v>
      </c>
    </row>
    <row r="26" spans="1:16" ht="45.75" thickBot="1">
      <c r="A26" s="27" t="s">
        <v>36</v>
      </c>
      <c r="B26" s="28">
        <f t="shared" ref="B26:B30" si="1">SUM(D26:O26)</f>
        <v>8461838</v>
      </c>
      <c r="D26" s="29">
        <v>576394</v>
      </c>
      <c r="E26" s="25">
        <v>538394</v>
      </c>
      <c r="F26" s="25">
        <v>531017</v>
      </c>
      <c r="G26" s="25">
        <v>640102</v>
      </c>
      <c r="H26" s="25">
        <v>681445</v>
      </c>
      <c r="I26" s="25">
        <v>707883</v>
      </c>
      <c r="J26" s="25">
        <v>775448</v>
      </c>
      <c r="K26" s="25">
        <v>778898</v>
      </c>
      <c r="L26" s="25">
        <v>766986</v>
      </c>
      <c r="M26" s="25">
        <v>824812</v>
      </c>
      <c r="N26" s="25">
        <v>752465</v>
      </c>
      <c r="O26" s="25">
        <v>887994</v>
      </c>
    </row>
    <row r="27" spans="1:16" ht="30.75" thickBot="1">
      <c r="A27" s="27" t="s">
        <v>37</v>
      </c>
      <c r="B27" s="28">
        <f t="shared" si="1"/>
        <v>30683589</v>
      </c>
      <c r="D27" s="25">
        <v>2199292</v>
      </c>
      <c r="E27" s="25">
        <v>2199292</v>
      </c>
      <c r="F27" s="25">
        <v>2258255</v>
      </c>
      <c r="G27" s="25">
        <v>2678161</v>
      </c>
      <c r="H27" s="25">
        <v>2686226</v>
      </c>
      <c r="I27" s="33">
        <v>2674017</v>
      </c>
      <c r="J27" s="33">
        <v>2674017</v>
      </c>
      <c r="K27" s="25">
        <v>2670950</v>
      </c>
      <c r="L27" s="25">
        <v>2674017</v>
      </c>
      <c r="M27" s="25">
        <v>2668990</v>
      </c>
      <c r="N27" s="25">
        <v>2629624</v>
      </c>
      <c r="O27" s="25">
        <v>2670748</v>
      </c>
    </row>
    <row r="28" spans="1:16" ht="35.450000000000003" customHeight="1" thickBot="1">
      <c r="A28" s="27" t="s">
        <v>38</v>
      </c>
      <c r="B28" s="28">
        <f t="shared" si="1"/>
        <v>0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6" ht="45.75" thickBot="1">
      <c r="A29" s="27" t="s">
        <v>39</v>
      </c>
      <c r="B29" s="28">
        <f t="shared" si="1"/>
        <v>0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0" spans="1:16" ht="45">
      <c r="A30" s="31" t="s">
        <v>40</v>
      </c>
      <c r="B30" s="38">
        <f t="shared" si="1"/>
        <v>0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</row>
    <row r="31" spans="1:16">
      <c r="A31" s="40" t="s">
        <v>41</v>
      </c>
      <c r="B31" s="41">
        <f>SUM(D31:O31)</f>
        <v>137265374</v>
      </c>
      <c r="D31">
        <f>D25+D26+D27+D28</f>
        <v>9831813</v>
      </c>
      <c r="E31">
        <f t="shared" ref="E31:O31" si="2">E25+E26+E27+E28</f>
        <v>9715888</v>
      </c>
      <c r="F31">
        <f t="shared" si="2"/>
        <v>10253511</v>
      </c>
      <c r="G31">
        <f t="shared" si="2"/>
        <v>11798282</v>
      </c>
      <c r="H31">
        <f t="shared" si="2"/>
        <v>11914156</v>
      </c>
      <c r="I31">
        <f t="shared" si="2"/>
        <v>11708391</v>
      </c>
      <c r="J31">
        <f t="shared" si="2"/>
        <v>11944700</v>
      </c>
      <c r="K31">
        <f t="shared" si="2"/>
        <v>11833122</v>
      </c>
      <c r="L31">
        <f t="shared" si="2"/>
        <v>11896686</v>
      </c>
      <c r="M31">
        <f t="shared" si="2"/>
        <v>11793660</v>
      </c>
      <c r="N31">
        <f t="shared" si="2"/>
        <v>12157907</v>
      </c>
      <c r="O31">
        <f t="shared" si="2"/>
        <v>12417258</v>
      </c>
    </row>
    <row r="32" spans="1:16" ht="15.75" thickBot="1">
      <c r="A32" s="17" t="s">
        <v>42</v>
      </c>
      <c r="B32" s="39">
        <f t="shared" ref="B32:B33" si="3">SUM(D32:O32)</f>
        <v>20240936</v>
      </c>
      <c r="D32" s="36">
        <v>1476410</v>
      </c>
      <c r="E32" s="36">
        <v>1486746</v>
      </c>
      <c r="F32" s="36">
        <v>1499341</v>
      </c>
      <c r="G32" s="36">
        <f>1673057+219175</f>
        <v>1892232</v>
      </c>
      <c r="H32" s="36">
        <v>1714239</v>
      </c>
      <c r="I32">
        <f>418133+1674143</f>
        <v>2092276</v>
      </c>
      <c r="J32" s="36">
        <v>1694523</v>
      </c>
      <c r="K32" s="36">
        <v>1663852</v>
      </c>
      <c r="L32" s="36">
        <v>1662503</v>
      </c>
      <c r="M32" s="36">
        <v>1637016</v>
      </c>
      <c r="N32" s="36">
        <v>1660813</v>
      </c>
      <c r="O32" s="36">
        <v>1760985</v>
      </c>
    </row>
    <row r="33" spans="1:15" ht="15.75" thickBot="1">
      <c r="A33" s="17" t="s">
        <v>43</v>
      </c>
      <c r="B33" s="28">
        <f t="shared" si="3"/>
        <v>1995252</v>
      </c>
      <c r="D33" s="36">
        <v>154415</v>
      </c>
      <c r="E33" s="36">
        <v>149334</v>
      </c>
      <c r="F33" s="36">
        <v>154790</v>
      </c>
      <c r="G33" s="36">
        <v>168053</v>
      </c>
      <c r="H33" s="36">
        <v>156343</v>
      </c>
      <c r="I33" s="36">
        <v>176660</v>
      </c>
      <c r="J33" s="36">
        <v>165176</v>
      </c>
      <c r="K33" s="36">
        <v>169876</v>
      </c>
      <c r="L33" s="36">
        <v>171649</v>
      </c>
      <c r="M33" s="36">
        <v>162052</v>
      </c>
      <c r="N33" s="36">
        <v>178359</v>
      </c>
      <c r="O33">
        <v>188545</v>
      </c>
    </row>
    <row r="34" spans="1:15" ht="30.75" thickBot="1">
      <c r="A34" s="17" t="s">
        <v>44</v>
      </c>
      <c r="B34" s="12"/>
    </row>
    <row r="36" spans="1:15">
      <c r="K36" s="37"/>
    </row>
  </sheetData>
  <mergeCells count="21">
    <mergeCell ref="A1:O1"/>
    <mergeCell ref="A2:A5"/>
    <mergeCell ref="B2:B5"/>
    <mergeCell ref="C2:J2"/>
    <mergeCell ref="K2:K5"/>
    <mergeCell ref="L2:M3"/>
    <mergeCell ref="N2:N5"/>
    <mergeCell ref="O2:O5"/>
    <mergeCell ref="C3:D3"/>
    <mergeCell ref="E3:F3"/>
    <mergeCell ref="L4:L5"/>
    <mergeCell ref="M4:M5"/>
    <mergeCell ref="A21:A22"/>
    <mergeCell ref="G3:H3"/>
    <mergeCell ref="I3:J3"/>
    <mergeCell ref="C4:D4"/>
    <mergeCell ref="E4:F4"/>
    <mergeCell ref="G4:G5"/>
    <mergeCell ref="H4:H5"/>
    <mergeCell ref="I4:I5"/>
    <mergeCell ref="J4:J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6"/>
  <sheetViews>
    <sheetView tabSelected="1" topLeftCell="A4" workbookViewId="0">
      <selection activeCell="H30" sqref="H30"/>
    </sheetView>
  </sheetViews>
  <sheetFormatPr defaultRowHeight="15"/>
  <cols>
    <col min="1" max="1" width="18.7109375" customWidth="1"/>
    <col min="2" max="2" width="10.140625" bestFit="1" customWidth="1"/>
    <col min="3" max="3" width="8.7109375" customWidth="1"/>
    <col min="4" max="4" width="11.85546875" customWidth="1"/>
    <col min="5" max="5" width="10.7109375" customWidth="1"/>
    <col min="6" max="6" width="9" customWidth="1"/>
    <col min="7" max="8" width="9.140625" customWidth="1"/>
    <col min="9" max="10" width="9.140625" style="43" customWidth="1"/>
    <col min="11" max="11" width="13" customWidth="1"/>
    <col min="12" max="13" width="9" customWidth="1"/>
    <col min="14" max="14" width="14" customWidth="1"/>
    <col min="15" max="15" width="13.5703125" customWidth="1"/>
  </cols>
  <sheetData>
    <row r="1" spans="1:1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spans="1:16" s="2" customFormat="1" ht="15.75" customHeight="1">
      <c r="A2" s="53" t="s">
        <v>45</v>
      </c>
      <c r="B2" s="54" t="s">
        <v>2</v>
      </c>
      <c r="C2" s="56"/>
      <c r="D2" s="56"/>
      <c r="E2" s="56"/>
      <c r="F2" s="56"/>
      <c r="G2" s="56"/>
      <c r="H2" s="56"/>
      <c r="I2" s="56"/>
      <c r="J2" s="57"/>
      <c r="K2" s="54" t="s">
        <v>3</v>
      </c>
      <c r="L2" s="54" t="s">
        <v>4</v>
      </c>
      <c r="M2" s="54"/>
      <c r="N2" s="54" t="s">
        <v>5</v>
      </c>
      <c r="O2" s="54" t="s">
        <v>6</v>
      </c>
      <c r="P2" s="1"/>
    </row>
    <row r="3" spans="1:16" s="2" customFormat="1" ht="102.6" customHeight="1">
      <c r="A3" s="53"/>
      <c r="B3" s="54"/>
      <c r="C3" s="58" t="s">
        <v>7</v>
      </c>
      <c r="D3" s="59"/>
      <c r="E3" s="58" t="s">
        <v>8</v>
      </c>
      <c r="F3" s="59"/>
      <c r="G3" s="54" t="s">
        <v>9</v>
      </c>
      <c r="H3" s="54"/>
      <c r="I3" s="54" t="s">
        <v>10</v>
      </c>
      <c r="J3" s="54"/>
      <c r="K3" s="54"/>
      <c r="L3" s="54"/>
      <c r="M3" s="54"/>
      <c r="N3" s="54"/>
      <c r="O3" s="54"/>
      <c r="P3" s="1"/>
    </row>
    <row r="4" spans="1:16" s="2" customFormat="1" ht="30.75" customHeight="1">
      <c r="A4" s="53"/>
      <c r="B4" s="54"/>
      <c r="C4" s="54" t="s">
        <v>11</v>
      </c>
      <c r="D4" s="54"/>
      <c r="E4" s="54" t="s">
        <v>11</v>
      </c>
      <c r="F4" s="54"/>
      <c r="G4" s="54" t="s">
        <v>12</v>
      </c>
      <c r="H4" s="54" t="s">
        <v>13</v>
      </c>
      <c r="I4" s="54" t="s">
        <v>14</v>
      </c>
      <c r="J4" s="54" t="s">
        <v>15</v>
      </c>
      <c r="K4" s="54"/>
      <c r="L4" s="54" t="s">
        <v>12</v>
      </c>
      <c r="M4" s="54" t="s">
        <v>13</v>
      </c>
      <c r="N4" s="54"/>
      <c r="O4" s="54"/>
      <c r="P4" s="1"/>
    </row>
    <row r="5" spans="1:16" s="2" customFormat="1" ht="48.75" customHeight="1">
      <c r="A5" s="53"/>
      <c r="B5" s="55"/>
      <c r="C5" s="3" t="s">
        <v>16</v>
      </c>
      <c r="D5" s="4" t="s">
        <v>17</v>
      </c>
      <c r="E5" s="4" t="s">
        <v>18</v>
      </c>
      <c r="F5" s="4" t="s">
        <v>17</v>
      </c>
      <c r="G5" s="54"/>
      <c r="H5" s="54"/>
      <c r="I5" s="54"/>
      <c r="J5" s="54"/>
      <c r="K5" s="54"/>
      <c r="L5" s="54"/>
      <c r="M5" s="54"/>
      <c r="N5" s="54"/>
      <c r="O5" s="54"/>
      <c r="P5" s="1"/>
    </row>
    <row r="6" spans="1:16" s="24" customFormat="1">
      <c r="A6" s="18">
        <v>45383</v>
      </c>
      <c r="B6" s="19">
        <v>25</v>
      </c>
      <c r="C6" s="20">
        <v>424</v>
      </c>
      <c r="D6" s="20">
        <v>449</v>
      </c>
      <c r="E6" s="20">
        <v>48</v>
      </c>
      <c r="F6" s="20">
        <v>49</v>
      </c>
      <c r="G6" s="21">
        <v>9450</v>
      </c>
      <c r="H6" s="21">
        <v>1086</v>
      </c>
      <c r="I6" s="34">
        <v>1582</v>
      </c>
      <c r="J6" s="34">
        <v>93</v>
      </c>
      <c r="K6" s="20">
        <v>20</v>
      </c>
      <c r="L6" s="19">
        <v>0</v>
      </c>
      <c r="M6" s="19">
        <v>0</v>
      </c>
      <c r="N6" s="19">
        <v>29</v>
      </c>
      <c r="O6" s="20">
        <v>4</v>
      </c>
      <c r="P6" s="23"/>
    </row>
    <row r="7" spans="1:16">
      <c r="A7" s="5">
        <v>45413</v>
      </c>
      <c r="B7" s="19">
        <v>25</v>
      </c>
      <c r="C7" s="30">
        <v>418</v>
      </c>
      <c r="D7" s="30">
        <v>453</v>
      </c>
      <c r="E7" s="30">
        <v>49</v>
      </c>
      <c r="F7" s="30">
        <v>56</v>
      </c>
      <c r="G7" s="35">
        <v>9522</v>
      </c>
      <c r="H7" s="21">
        <v>1129</v>
      </c>
      <c r="I7" s="34">
        <v>621</v>
      </c>
      <c r="J7" s="20">
        <v>106</v>
      </c>
      <c r="K7" s="20">
        <v>29</v>
      </c>
      <c r="L7" s="19">
        <v>0</v>
      </c>
      <c r="M7" s="19">
        <v>0</v>
      </c>
      <c r="N7" s="19">
        <v>28</v>
      </c>
      <c r="O7" s="20">
        <v>4</v>
      </c>
      <c r="P7" s="6"/>
    </row>
    <row r="8" spans="1:16" ht="16.899999999999999" customHeight="1">
      <c r="A8" s="5">
        <v>45444</v>
      </c>
      <c r="B8" s="19">
        <v>26</v>
      </c>
      <c r="C8" s="20">
        <v>428</v>
      </c>
      <c r="D8" s="20">
        <v>465</v>
      </c>
      <c r="E8" s="20">
        <v>55</v>
      </c>
      <c r="F8" s="20">
        <v>60</v>
      </c>
      <c r="G8" s="21">
        <v>9983</v>
      </c>
      <c r="H8" s="21">
        <v>1314</v>
      </c>
      <c r="I8" s="20">
        <v>744</v>
      </c>
      <c r="J8" s="20">
        <v>99</v>
      </c>
      <c r="K8" s="20">
        <v>27</v>
      </c>
      <c r="L8" s="19">
        <v>0</v>
      </c>
      <c r="M8" s="19">
        <v>0</v>
      </c>
      <c r="N8" s="19">
        <v>28</v>
      </c>
      <c r="O8" s="20">
        <v>4</v>
      </c>
      <c r="P8" s="6"/>
    </row>
    <row r="9" spans="1:16" ht="15" customHeight="1">
      <c r="A9" s="5">
        <v>45474</v>
      </c>
      <c r="B9" s="19">
        <v>26</v>
      </c>
      <c r="C9" s="20">
        <v>426</v>
      </c>
      <c r="D9" s="20">
        <v>448</v>
      </c>
      <c r="E9" s="20">
        <v>57</v>
      </c>
      <c r="F9" s="20">
        <v>59</v>
      </c>
      <c r="G9" s="21">
        <v>10191</v>
      </c>
      <c r="H9" s="21">
        <v>1309</v>
      </c>
      <c r="I9" s="20">
        <v>651</v>
      </c>
      <c r="J9" s="20">
        <v>149</v>
      </c>
      <c r="K9" s="20">
        <v>19</v>
      </c>
      <c r="L9" s="19">
        <v>0</v>
      </c>
      <c r="M9" s="19">
        <v>0</v>
      </c>
      <c r="N9" s="19">
        <v>28</v>
      </c>
      <c r="O9" s="20">
        <v>4</v>
      </c>
      <c r="P9" s="6"/>
    </row>
    <row r="10" spans="1:16">
      <c r="A10" s="5">
        <v>45505</v>
      </c>
      <c r="B10" s="46">
        <v>25</v>
      </c>
      <c r="C10" s="42">
        <v>419</v>
      </c>
      <c r="D10" s="42">
        <v>424</v>
      </c>
      <c r="E10" s="42">
        <v>55</v>
      </c>
      <c r="F10" s="42">
        <v>55</v>
      </c>
      <c r="G10" s="26">
        <v>9302</v>
      </c>
      <c r="H10" s="26">
        <v>1149</v>
      </c>
      <c r="I10" s="42">
        <v>652.5</v>
      </c>
      <c r="J10" s="42">
        <v>642</v>
      </c>
      <c r="K10" s="42">
        <v>10</v>
      </c>
      <c r="L10" s="46">
        <v>0</v>
      </c>
      <c r="M10" s="46">
        <v>0</v>
      </c>
      <c r="N10" s="46">
        <v>28</v>
      </c>
      <c r="O10" s="42">
        <v>4</v>
      </c>
      <c r="P10" s="6"/>
    </row>
    <row r="11" spans="1:16">
      <c r="A11" s="5">
        <v>45536</v>
      </c>
      <c r="B11" s="19">
        <v>26</v>
      </c>
      <c r="C11" s="20">
        <v>408</v>
      </c>
      <c r="D11" s="20">
        <v>412</v>
      </c>
      <c r="E11" s="20">
        <v>51</v>
      </c>
      <c r="F11" s="20">
        <v>51</v>
      </c>
      <c r="G11" s="21">
        <v>9250</v>
      </c>
      <c r="H11" s="21">
        <v>1104</v>
      </c>
      <c r="I11" s="20">
        <v>652.5</v>
      </c>
      <c r="J11" s="20">
        <v>142</v>
      </c>
      <c r="K11" s="20">
        <v>8</v>
      </c>
      <c r="L11" s="19">
        <v>0</v>
      </c>
      <c r="M11" s="19">
        <v>0</v>
      </c>
      <c r="N11" s="19">
        <v>28</v>
      </c>
      <c r="O11" s="20">
        <v>4</v>
      </c>
      <c r="P11" s="6"/>
    </row>
    <row r="12" spans="1:16">
      <c r="A12" s="5">
        <v>45566</v>
      </c>
      <c r="B12" s="19">
        <v>24</v>
      </c>
      <c r="C12" s="20">
        <v>390</v>
      </c>
      <c r="D12" s="20">
        <v>396</v>
      </c>
      <c r="E12" s="20">
        <v>49</v>
      </c>
      <c r="F12" s="20">
        <v>49</v>
      </c>
      <c r="G12" s="21">
        <v>8426.5</v>
      </c>
      <c r="H12" s="21">
        <v>1018</v>
      </c>
      <c r="I12" s="20">
        <v>533</v>
      </c>
      <c r="J12" s="20">
        <v>65</v>
      </c>
      <c r="K12" s="20">
        <v>10</v>
      </c>
      <c r="L12" s="19">
        <v>0</v>
      </c>
      <c r="M12" s="19">
        <v>0</v>
      </c>
      <c r="N12" s="19">
        <v>28</v>
      </c>
      <c r="O12" s="20">
        <v>3</v>
      </c>
      <c r="P12" s="6"/>
    </row>
    <row r="13" spans="1:16">
      <c r="A13" s="5">
        <v>45597</v>
      </c>
      <c r="B13" s="19">
        <v>24</v>
      </c>
      <c r="C13" s="20">
        <v>382</v>
      </c>
      <c r="D13" s="20">
        <v>401</v>
      </c>
      <c r="E13" s="20">
        <v>48</v>
      </c>
      <c r="F13" s="20">
        <v>51</v>
      </c>
      <c r="G13" s="21">
        <v>8186</v>
      </c>
      <c r="H13" s="21">
        <v>943</v>
      </c>
      <c r="I13" s="20">
        <v>648</v>
      </c>
      <c r="J13" s="20">
        <v>158</v>
      </c>
      <c r="K13" s="20">
        <v>11</v>
      </c>
      <c r="L13" s="19">
        <v>0</v>
      </c>
      <c r="M13" s="19">
        <v>0</v>
      </c>
      <c r="N13" s="19">
        <v>29</v>
      </c>
      <c r="O13" s="20">
        <v>6</v>
      </c>
      <c r="P13" s="6"/>
    </row>
    <row r="14" spans="1:16" ht="13.9" customHeight="1">
      <c r="A14" s="5">
        <v>45627</v>
      </c>
      <c r="B14" s="19">
        <v>26</v>
      </c>
      <c r="C14" s="20">
        <v>379</v>
      </c>
      <c r="D14" s="20">
        <v>392</v>
      </c>
      <c r="E14" s="20">
        <v>45</v>
      </c>
      <c r="F14" s="20">
        <v>54</v>
      </c>
      <c r="G14" s="21">
        <v>8669.5</v>
      </c>
      <c r="H14" s="21">
        <v>1000</v>
      </c>
      <c r="I14" s="20">
        <v>514</v>
      </c>
      <c r="J14" s="20">
        <v>170</v>
      </c>
      <c r="K14" s="20">
        <v>13</v>
      </c>
      <c r="L14" s="19">
        <v>0</v>
      </c>
      <c r="M14" s="19">
        <v>0</v>
      </c>
      <c r="N14" s="19">
        <v>28</v>
      </c>
      <c r="O14" s="20">
        <v>5</v>
      </c>
      <c r="P14" s="6"/>
    </row>
    <row r="15" spans="1:16">
      <c r="A15" s="5">
        <v>45658</v>
      </c>
      <c r="B15" s="19">
        <v>27</v>
      </c>
      <c r="C15" s="20">
        <v>373</v>
      </c>
      <c r="D15" s="20">
        <v>368</v>
      </c>
      <c r="E15" s="20">
        <v>52</v>
      </c>
      <c r="F15" s="20">
        <v>53</v>
      </c>
      <c r="G15" s="21">
        <v>8962</v>
      </c>
      <c r="H15" s="21">
        <v>1163</v>
      </c>
      <c r="I15" s="20">
        <v>531</v>
      </c>
      <c r="J15" s="20">
        <v>138</v>
      </c>
      <c r="K15" s="20">
        <v>17</v>
      </c>
      <c r="L15" s="19">
        <v>0</v>
      </c>
      <c r="M15" s="19">
        <v>0</v>
      </c>
      <c r="N15" s="19">
        <v>30</v>
      </c>
      <c r="O15" s="20">
        <v>5</v>
      </c>
      <c r="P15" s="6"/>
    </row>
    <row r="16" spans="1:16">
      <c r="A16" s="5">
        <v>45689</v>
      </c>
      <c r="B16" s="19">
        <v>26</v>
      </c>
      <c r="C16" s="20">
        <v>368</v>
      </c>
      <c r="D16" s="20">
        <v>405</v>
      </c>
      <c r="E16" s="20">
        <v>47</v>
      </c>
      <c r="F16" s="20">
        <v>53</v>
      </c>
      <c r="G16" s="21">
        <v>8955</v>
      </c>
      <c r="H16" s="21">
        <v>1077.5</v>
      </c>
      <c r="I16" s="20">
        <v>431</v>
      </c>
      <c r="J16" s="20">
        <v>140</v>
      </c>
      <c r="K16" s="20">
        <v>15</v>
      </c>
      <c r="L16" s="19">
        <v>0</v>
      </c>
      <c r="M16" s="19">
        <v>0</v>
      </c>
      <c r="N16" s="19">
        <v>28</v>
      </c>
      <c r="O16" s="20">
        <v>5</v>
      </c>
      <c r="P16" s="6"/>
    </row>
    <row r="17" spans="1:16">
      <c r="A17" s="5">
        <v>45717</v>
      </c>
      <c r="B17" s="19">
        <v>24</v>
      </c>
      <c r="C17" s="42">
        <v>388</v>
      </c>
      <c r="D17" s="42">
        <v>413</v>
      </c>
      <c r="E17" s="42">
        <v>49</v>
      </c>
      <c r="F17" s="42">
        <v>50</v>
      </c>
      <c r="G17" s="21">
        <v>8544.5</v>
      </c>
      <c r="H17" s="21">
        <v>967.5</v>
      </c>
      <c r="I17" s="20">
        <v>464</v>
      </c>
      <c r="J17" s="20">
        <v>153.5</v>
      </c>
      <c r="K17" s="20">
        <v>6</v>
      </c>
      <c r="L17" s="19">
        <v>0</v>
      </c>
      <c r="M17" s="19">
        <v>0</v>
      </c>
      <c r="N17" s="19">
        <v>29</v>
      </c>
      <c r="O17" s="20">
        <v>5</v>
      </c>
      <c r="P17" s="6"/>
    </row>
    <row r="18" spans="1:16">
      <c r="A18" s="7" t="s">
        <v>48</v>
      </c>
      <c r="B18" s="8">
        <f>SUM(B6:B17)</f>
        <v>304</v>
      </c>
      <c r="C18" s="8">
        <f t="shared" ref="C18:O18" si="0">SUM(C6:C17)</f>
        <v>4803</v>
      </c>
      <c r="D18" s="8">
        <f t="shared" si="0"/>
        <v>5026</v>
      </c>
      <c r="E18" s="8">
        <f t="shared" si="0"/>
        <v>605</v>
      </c>
      <c r="F18" s="8">
        <f t="shared" si="0"/>
        <v>640</v>
      </c>
      <c r="G18" s="8">
        <f t="shared" si="0"/>
        <v>109441.5</v>
      </c>
      <c r="H18" s="8">
        <f t="shared" si="0"/>
        <v>13260</v>
      </c>
      <c r="I18" s="8">
        <f t="shared" si="0"/>
        <v>8024</v>
      </c>
      <c r="J18" s="8">
        <f t="shared" si="0"/>
        <v>2055.5</v>
      </c>
      <c r="K18" s="8">
        <f t="shared" si="0"/>
        <v>185</v>
      </c>
      <c r="L18" s="8">
        <f t="shared" si="0"/>
        <v>0</v>
      </c>
      <c r="M18" s="8">
        <f t="shared" si="0"/>
        <v>0</v>
      </c>
      <c r="N18" s="8">
        <f t="shared" si="0"/>
        <v>341</v>
      </c>
      <c r="O18" s="8">
        <f t="shared" si="0"/>
        <v>53</v>
      </c>
      <c r="P18" s="6"/>
    </row>
    <row r="19" spans="1:16">
      <c r="A19" s="9"/>
    </row>
    <row r="20" spans="1:16" ht="15.75" thickBot="1"/>
    <row r="21" spans="1:16" ht="29.25" customHeight="1" thickBot="1">
      <c r="A21" s="60" t="s">
        <v>49</v>
      </c>
      <c r="B21" s="47" t="s">
        <v>14</v>
      </c>
      <c r="D21">
        <v>0</v>
      </c>
      <c r="E21">
        <v>0</v>
      </c>
      <c r="F21">
        <v>0</v>
      </c>
      <c r="G21">
        <v>0</v>
      </c>
      <c r="H21">
        <v>0</v>
      </c>
      <c r="I21" s="43">
        <v>0</v>
      </c>
    </row>
    <row r="22" spans="1:16" ht="15.75" thickBot="1">
      <c r="A22" s="61"/>
      <c r="B22" s="12" t="s">
        <v>15</v>
      </c>
      <c r="D22">
        <v>0</v>
      </c>
      <c r="E22">
        <v>0</v>
      </c>
      <c r="F22">
        <v>0</v>
      </c>
      <c r="G22">
        <v>0</v>
      </c>
      <c r="H22">
        <v>0</v>
      </c>
      <c r="I22" s="43">
        <v>0</v>
      </c>
    </row>
    <row r="23" spans="1:16">
      <c r="A23" s="9" t="s">
        <v>21</v>
      </c>
    </row>
    <row r="24" spans="1:16" ht="15.75" thickBot="1">
      <c r="A24" s="1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s="43" t="s">
        <v>28</v>
      </c>
      <c r="J24" s="43" t="s">
        <v>29</v>
      </c>
      <c r="K24" t="s">
        <v>30</v>
      </c>
      <c r="L24" t="s">
        <v>31</v>
      </c>
      <c r="M24" t="s">
        <v>32</v>
      </c>
      <c r="N24" t="s">
        <v>33</v>
      </c>
      <c r="O24" t="s">
        <v>34</v>
      </c>
    </row>
    <row r="25" spans="1:16" ht="39.75" customHeight="1" thickBot="1">
      <c r="A25" s="15" t="s">
        <v>35</v>
      </c>
      <c r="B25" s="48">
        <f t="shared" ref="B25:B30" si="1">SUM(D25:O25)</f>
        <v>126260939.16999999</v>
      </c>
      <c r="D25" s="25">
        <v>9709116</v>
      </c>
      <c r="E25" s="25">
        <v>9988285.2799999993</v>
      </c>
      <c r="F25" s="25">
        <v>10078529.51</v>
      </c>
      <c r="G25" s="25">
        <v>10057463.109999999</v>
      </c>
      <c r="H25" s="25">
        <v>10068627.92</v>
      </c>
      <c r="I25" s="25">
        <v>10211686</v>
      </c>
      <c r="J25" s="25">
        <v>14295184.949999999</v>
      </c>
      <c r="K25" s="25">
        <v>9923687.5299999993</v>
      </c>
      <c r="L25" s="25">
        <v>10164697.210000001</v>
      </c>
      <c r="M25" s="25">
        <v>10073651.4</v>
      </c>
      <c r="N25" s="25">
        <v>10572417.52</v>
      </c>
      <c r="O25" s="25">
        <v>11117592.74</v>
      </c>
    </row>
    <row r="26" spans="1:16" ht="45.75" thickBot="1">
      <c r="A26" s="27" t="s">
        <v>36</v>
      </c>
      <c r="B26" s="41">
        <f t="shared" si="1"/>
        <v>11606067.569999997</v>
      </c>
      <c r="D26" s="29">
        <v>913969.86</v>
      </c>
      <c r="E26" s="25">
        <v>943416.96</v>
      </c>
      <c r="F26" s="25">
        <v>1111125.81</v>
      </c>
      <c r="G26" s="25">
        <v>1050141.67</v>
      </c>
      <c r="H26" s="25">
        <v>983201.59</v>
      </c>
      <c r="I26" s="25">
        <v>921461.68</v>
      </c>
      <c r="J26" s="25">
        <v>1203513.1299999999</v>
      </c>
      <c r="K26" s="25">
        <v>828216.92</v>
      </c>
      <c r="L26" s="25">
        <v>824828.21</v>
      </c>
      <c r="M26" s="25">
        <v>951756.1</v>
      </c>
      <c r="N26" s="25">
        <v>941072.45</v>
      </c>
      <c r="O26" s="29">
        <v>933363.19</v>
      </c>
    </row>
    <row r="27" spans="1:16" ht="30.75" thickBot="1">
      <c r="A27" s="27" t="s">
        <v>37</v>
      </c>
      <c r="B27" s="41">
        <f t="shared" si="1"/>
        <v>38118131.460000001</v>
      </c>
      <c r="D27" s="25">
        <v>2795857</v>
      </c>
      <c r="E27" s="25">
        <v>2855376</v>
      </c>
      <c r="F27" s="25">
        <v>2859334</v>
      </c>
      <c r="G27" s="25">
        <v>2846501</v>
      </c>
      <c r="H27" s="33">
        <v>2854026</v>
      </c>
      <c r="I27" s="33">
        <v>3183676</v>
      </c>
      <c r="J27" s="33">
        <v>4667170.76</v>
      </c>
      <c r="K27" s="25">
        <v>3230493.28</v>
      </c>
      <c r="L27" s="25">
        <v>3172548.09</v>
      </c>
      <c r="M27" s="25">
        <v>3230675.58</v>
      </c>
      <c r="N27" s="25">
        <v>3184134.75</v>
      </c>
      <c r="O27" s="25">
        <v>3238339</v>
      </c>
    </row>
    <row r="28" spans="1:16" ht="35.450000000000003" customHeight="1" thickBot="1">
      <c r="A28" s="27" t="s">
        <v>38</v>
      </c>
      <c r="B28" s="41">
        <f t="shared" si="1"/>
        <v>0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6" ht="45.75" thickBot="1">
      <c r="A29" s="27" t="s">
        <v>39</v>
      </c>
      <c r="B29" s="41">
        <f t="shared" si="1"/>
        <v>0</v>
      </c>
      <c r="D29" s="26"/>
      <c r="E29" s="26"/>
      <c r="F29" s="26"/>
      <c r="G29" s="26"/>
      <c r="H29" s="26"/>
      <c r="I29" s="44"/>
      <c r="J29" s="44"/>
      <c r="K29" s="26"/>
      <c r="L29" s="26"/>
      <c r="M29" s="26"/>
      <c r="N29" s="26"/>
      <c r="O29" s="26"/>
    </row>
    <row r="30" spans="1:16" ht="45">
      <c r="A30" s="31" t="s">
        <v>40</v>
      </c>
      <c r="B30" s="41">
        <f t="shared" si="1"/>
        <v>0</v>
      </c>
      <c r="D30" s="26"/>
      <c r="E30" s="26"/>
      <c r="F30" s="26"/>
      <c r="G30" s="26"/>
      <c r="H30" s="26"/>
      <c r="I30" s="44"/>
      <c r="J30" s="44"/>
      <c r="K30" s="26"/>
      <c r="L30" s="26"/>
      <c r="M30" s="26"/>
      <c r="N30" s="26"/>
      <c r="O30" s="26"/>
    </row>
    <row r="31" spans="1:16">
      <c r="A31" s="40" t="s">
        <v>41</v>
      </c>
      <c r="B31" s="41">
        <f>SUM(D31:O31)</f>
        <v>175985138.20000005</v>
      </c>
      <c r="D31">
        <f>SUM(D25:D27)</f>
        <v>13418942.859999999</v>
      </c>
      <c r="E31">
        <f t="shared" ref="E31:O31" si="2">SUM(E25:E27)</f>
        <v>13787078.239999998</v>
      </c>
      <c r="F31">
        <f t="shared" si="2"/>
        <v>14048989.32</v>
      </c>
      <c r="G31">
        <f t="shared" si="2"/>
        <v>13954105.779999999</v>
      </c>
      <c r="H31">
        <f t="shared" si="2"/>
        <v>13905855.51</v>
      </c>
      <c r="I31" s="43">
        <f t="shared" si="2"/>
        <v>14316823.68</v>
      </c>
      <c r="J31" s="43">
        <f t="shared" si="2"/>
        <v>20165868.839999996</v>
      </c>
      <c r="K31">
        <f t="shared" si="2"/>
        <v>13982397.729999999</v>
      </c>
      <c r="L31">
        <f t="shared" si="2"/>
        <v>14162073.510000002</v>
      </c>
      <c r="M31">
        <f t="shared" si="2"/>
        <v>14256083.08</v>
      </c>
      <c r="N31">
        <f t="shared" si="2"/>
        <v>14697624.719999999</v>
      </c>
      <c r="O31">
        <f t="shared" si="2"/>
        <v>15289294.93</v>
      </c>
    </row>
    <row r="32" spans="1:16" ht="15.75" thickBot="1">
      <c r="A32" s="17" t="s">
        <v>42</v>
      </c>
      <c r="B32" s="41">
        <f t="shared" ref="B32:B33" si="3">SUM(D32:O32)</f>
        <v>20825960</v>
      </c>
      <c r="D32" s="36">
        <v>1666619</v>
      </c>
      <c r="E32" s="36">
        <v>1676582</v>
      </c>
      <c r="F32" s="36">
        <v>1737825</v>
      </c>
      <c r="G32" s="36">
        <v>1761796</v>
      </c>
      <c r="H32" s="36">
        <v>1743879</v>
      </c>
      <c r="I32" s="43">
        <v>1726992</v>
      </c>
      <c r="J32" s="45">
        <v>1822545</v>
      </c>
      <c r="K32" s="36">
        <v>1715091</v>
      </c>
      <c r="L32" s="36">
        <v>1696623</v>
      </c>
      <c r="M32" s="36">
        <v>1697030</v>
      </c>
      <c r="N32" s="36">
        <v>1742759</v>
      </c>
      <c r="O32" s="36">
        <v>1838219</v>
      </c>
    </row>
    <row r="33" spans="1:15" ht="15.75" thickBot="1">
      <c r="A33" s="17" t="s">
        <v>43</v>
      </c>
      <c r="B33" s="41">
        <f t="shared" si="3"/>
        <v>1775771</v>
      </c>
      <c r="D33">
        <v>170056</v>
      </c>
      <c r="E33">
        <v>167746</v>
      </c>
      <c r="F33">
        <v>180143</v>
      </c>
      <c r="G33" s="36">
        <v>179118</v>
      </c>
      <c r="H33" s="36">
        <v>173096</v>
      </c>
      <c r="I33" s="45">
        <v>127105</v>
      </c>
      <c r="J33" s="45">
        <v>153994</v>
      </c>
      <c r="K33" s="36">
        <v>121107</v>
      </c>
      <c r="L33" s="36">
        <v>127367</v>
      </c>
      <c r="M33" s="36">
        <v>120329</v>
      </c>
      <c r="N33" s="36">
        <v>127108</v>
      </c>
      <c r="O33" s="36">
        <v>128602</v>
      </c>
    </row>
    <row r="34" spans="1:15" ht="30.75" thickBot="1">
      <c r="A34" s="17" t="s">
        <v>44</v>
      </c>
      <c r="B34" s="49">
        <v>4655610.0713999998</v>
      </c>
    </row>
    <row r="36" spans="1:15">
      <c r="K36" s="37"/>
    </row>
  </sheetData>
  <mergeCells count="21">
    <mergeCell ref="A21:A22"/>
    <mergeCell ref="G3:H3"/>
    <mergeCell ref="I3:J3"/>
    <mergeCell ref="C4:D4"/>
    <mergeCell ref="E4:F4"/>
    <mergeCell ref="G4:G5"/>
    <mergeCell ref="H4:H5"/>
    <mergeCell ref="I4:I5"/>
    <mergeCell ref="J4:J5"/>
    <mergeCell ref="A1:O1"/>
    <mergeCell ref="A2:A5"/>
    <mergeCell ref="B2:B5"/>
    <mergeCell ref="C2:J2"/>
    <mergeCell ref="K2:K5"/>
    <mergeCell ref="L2:M3"/>
    <mergeCell ref="N2:N5"/>
    <mergeCell ref="O2:O5"/>
    <mergeCell ref="C3:D3"/>
    <mergeCell ref="E3:F3"/>
    <mergeCell ref="L4:L5"/>
    <mergeCell ref="M4:M5"/>
  </mergeCells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Pravin G [SUKI Software]</cp:lastModifiedBy>
  <cp:revision/>
  <dcterms:created xsi:type="dcterms:W3CDTF">2006-09-16T00:00:00Z</dcterms:created>
  <dcterms:modified xsi:type="dcterms:W3CDTF">2026-04-27T07:23:49Z</dcterms:modified>
  <cp:category/>
  <cp:contentStatus/>
</cp:coreProperties>
</file>