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1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dasamyl\AppData\Local\Microsoft\Windows\INetCache\Content.Outlook\6Y3EOM8N\"/>
    </mc:Choice>
  </mc:AlternateContent>
  <xr:revisionPtr revIDLastSave="0" documentId="11_C09209B91CA4EDAD92BDF3664DA351A1158835B4" xr6:coauthVersionLast="47" xr6:coauthVersionMax="47" xr10:uidLastSave="{00000000-0000-0000-0000-000000000000}"/>
  <bookViews>
    <workbookView xWindow="0" yWindow="0" windowWidth="16815" windowHeight="7200" xr2:uid="{00000000-000D-0000-FFFF-FFFF00000000}"/>
  </bookViews>
  <sheets>
    <sheet name="26-27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1" i="4" l="1"/>
  <c r="L11" i="4"/>
  <c r="O11" i="4"/>
  <c r="R11" i="4"/>
  <c r="U11" i="4"/>
  <c r="X11" i="4"/>
  <c r="AA11" i="4"/>
  <c r="AD11" i="4"/>
  <c r="AG11" i="4"/>
  <c r="AJ11" i="4"/>
  <c r="AM11" i="4"/>
  <c r="AP11" i="4"/>
  <c r="AS11" i="4"/>
  <c r="AV11" i="4"/>
  <c r="AW11" i="4"/>
  <c r="AZ11" i="4" s="1"/>
  <c r="AX11" i="4"/>
  <c r="AY11" i="4" s="1"/>
  <c r="I10" i="4"/>
  <c r="L10" i="4"/>
  <c r="O10" i="4"/>
  <c r="R10" i="4"/>
  <c r="U10" i="4"/>
  <c r="X10" i="4"/>
  <c r="AA10" i="4"/>
  <c r="AD10" i="4"/>
  <c r="AG10" i="4"/>
  <c r="AJ10" i="4"/>
  <c r="AM10" i="4"/>
  <c r="AP10" i="4"/>
  <c r="AS10" i="4"/>
  <c r="AV10" i="4"/>
  <c r="AW10" i="4"/>
  <c r="AZ10" i="4" s="1"/>
  <c r="AX10" i="4"/>
  <c r="AY10" i="4" s="1"/>
  <c r="AW9" i="4"/>
  <c r="AX9" i="4"/>
  <c r="AY9" i="4" s="1"/>
  <c r="AZ9" i="4"/>
  <c r="AV9" i="4"/>
  <c r="AS9" i="4"/>
  <c r="AP9" i="4"/>
  <c r="AM9" i="4"/>
  <c r="AJ9" i="4"/>
  <c r="AG9" i="4"/>
  <c r="AD9" i="4"/>
  <c r="AA9" i="4"/>
  <c r="X9" i="4"/>
  <c r="U9" i="4"/>
  <c r="R9" i="4"/>
  <c r="O9" i="4"/>
  <c r="L9" i="4"/>
  <c r="I9" i="4"/>
  <c r="BA9" i="4" l="1"/>
  <c r="BA11" i="4"/>
  <c r="BA10" i="4"/>
  <c r="AW6" i="4"/>
  <c r="AX6" i="4"/>
  <c r="AW7" i="4"/>
  <c r="AZ7" i="4" s="1"/>
  <c r="AX7" i="4"/>
  <c r="AW8" i="4"/>
  <c r="AZ8" i="4" s="1"/>
  <c r="AX8" i="4"/>
  <c r="AW12" i="4"/>
  <c r="AZ12" i="4" s="1"/>
  <c r="AX12" i="4"/>
  <c r="AW5" i="4"/>
  <c r="AZ5" i="4" s="1"/>
  <c r="AX5" i="4"/>
  <c r="BA5" i="4" l="1"/>
  <c r="AX13" i="4"/>
  <c r="AY7" i="4"/>
  <c r="BA7" i="4"/>
  <c r="AY5" i="4"/>
  <c r="AY8" i="4"/>
  <c r="BA8" i="4"/>
  <c r="AY6" i="4"/>
  <c r="AZ6" i="4"/>
  <c r="BA6" i="4" s="1"/>
  <c r="AY12" i="4"/>
  <c r="BA12" i="4"/>
  <c r="AW13" i="4"/>
  <c r="AV12" i="4"/>
  <c r="AS12" i="4"/>
  <c r="AP12" i="4"/>
  <c r="AM12" i="4"/>
  <c r="AJ12" i="4"/>
  <c r="AG12" i="4"/>
  <c r="AD12" i="4"/>
  <c r="AA12" i="4"/>
  <c r="X12" i="4"/>
  <c r="U12" i="4"/>
  <c r="R12" i="4"/>
  <c r="O12" i="4"/>
  <c r="L12" i="4"/>
  <c r="AV8" i="4"/>
  <c r="AS8" i="4"/>
  <c r="AP8" i="4"/>
  <c r="AM8" i="4"/>
  <c r="AJ8" i="4"/>
  <c r="AG8" i="4"/>
  <c r="AD8" i="4"/>
  <c r="AA8" i="4"/>
  <c r="X8" i="4"/>
  <c r="U8" i="4"/>
  <c r="R8" i="4"/>
  <c r="O8" i="4"/>
  <c r="L8" i="4"/>
  <c r="AV7" i="4"/>
  <c r="AS7" i="4"/>
  <c r="AP7" i="4"/>
  <c r="AM7" i="4"/>
  <c r="AJ7" i="4"/>
  <c r="AG7" i="4"/>
  <c r="AD7" i="4"/>
  <c r="AA7" i="4"/>
  <c r="X7" i="4"/>
  <c r="U7" i="4"/>
  <c r="R7" i="4"/>
  <c r="O7" i="4"/>
  <c r="L7" i="4"/>
  <c r="AV6" i="4"/>
  <c r="AS6" i="4"/>
  <c r="AP6" i="4"/>
  <c r="AM6" i="4"/>
  <c r="AJ6" i="4"/>
  <c r="AG6" i="4"/>
  <c r="AD6" i="4"/>
  <c r="AA6" i="4"/>
  <c r="X6" i="4"/>
  <c r="U6" i="4"/>
  <c r="R6" i="4"/>
  <c r="O6" i="4"/>
  <c r="L6" i="4"/>
  <c r="AV5" i="4"/>
  <c r="AS5" i="4"/>
  <c r="AP5" i="4"/>
  <c r="AM5" i="4"/>
  <c r="AJ5" i="4"/>
  <c r="AG5" i="4"/>
  <c r="AD5" i="4"/>
  <c r="AA5" i="4"/>
  <c r="X5" i="4"/>
  <c r="U5" i="4"/>
  <c r="R5" i="4"/>
  <c r="O5" i="4"/>
  <c r="L5" i="4"/>
  <c r="I7" i="4"/>
  <c r="I8" i="4"/>
  <c r="I12" i="4"/>
  <c r="I6" i="4"/>
  <c r="I5" i="4"/>
  <c r="AY13" i="4" l="1"/>
  <c r="BA13" i="4"/>
</calcChain>
</file>

<file path=xl/sharedStrings.xml><?xml version="1.0" encoding="utf-8"?>
<sst xmlns="http://schemas.openxmlformats.org/spreadsheetml/2006/main" count="95" uniqueCount="57">
  <si>
    <t>SKILL MATRIX -  STORE</t>
  </si>
  <si>
    <t>SL NO</t>
  </si>
  <si>
    <t>Emp.code</t>
  </si>
  <si>
    <t>EMP CODE</t>
  </si>
  <si>
    <t>EMPLOYEE NAME</t>
  </si>
  <si>
    <t>DESIGNATION</t>
  </si>
  <si>
    <t>TOOLS KNOWLEDGE</t>
  </si>
  <si>
    <t>RM KNOWLEDGE</t>
  </si>
  <si>
    <t>ERP(SOFT SKILL)</t>
  </si>
  <si>
    <t>FOREIGN OBJECTIVE DAMAGE KNOWLEDGE</t>
  </si>
  <si>
    <t xml:space="preserve"> COMMUNICATION SKILL</t>
  </si>
  <si>
    <t>EMS POLICY &amp; SCOPE</t>
  </si>
  <si>
    <t>EMS OBJECTIVES</t>
  </si>
  <si>
    <t>ASPECTS &amp; IMPACTS</t>
  </si>
  <si>
    <t>HAZARDOUS WASTE IDENTIFICATION</t>
  </si>
  <si>
    <t>WASTE DISPOSAL</t>
  </si>
  <si>
    <t>OPERATION CONTROL</t>
  </si>
  <si>
    <t>INTERNAL AUDIT</t>
  </si>
  <si>
    <t>MATERIAL HANDLING</t>
  </si>
  <si>
    <t>LEGAL REQUIREMENT</t>
  </si>
  <si>
    <t>Desired Skill</t>
  </si>
  <si>
    <t>Available Skill</t>
  </si>
  <si>
    <t>Required Skill</t>
  </si>
  <si>
    <t>REQUIRED SKILL</t>
  </si>
  <si>
    <t>AVAILABLE SKILL</t>
  </si>
  <si>
    <t>SKILL GAP</t>
  </si>
  <si>
    <t>Total Score</t>
  </si>
  <si>
    <t>Achieved Score</t>
  </si>
  <si>
    <t>Total Percentage</t>
  </si>
  <si>
    <t>0274</t>
  </si>
  <si>
    <t>TAMIL SELVAN P</t>
  </si>
  <si>
    <t>Assistant Engineer</t>
  </si>
  <si>
    <t>0559</t>
  </si>
  <si>
    <t>S PARTHIBAN</t>
  </si>
  <si>
    <t>Assistant</t>
  </si>
  <si>
    <t>AJITH MURUGAESAN</t>
  </si>
  <si>
    <t>Helper</t>
  </si>
  <si>
    <t>VENKATESH SELLAPPAN</t>
  </si>
  <si>
    <t>SUPERVISOR</t>
  </si>
  <si>
    <t>PUGAZHENTHI</t>
  </si>
  <si>
    <t>PREM KUMAR K P</t>
  </si>
  <si>
    <t>MADASAMY</t>
  </si>
  <si>
    <t>Assistant Manager</t>
  </si>
  <si>
    <t>KALIMUTHU B</t>
  </si>
  <si>
    <t>Trainee</t>
  </si>
  <si>
    <t xml:space="preserve">NOTE : </t>
  </si>
  <si>
    <t xml:space="preserve">FOR AVAILABLE SKILL </t>
  </si>
  <si>
    <t>0 OR N/A - Not Applicable</t>
  </si>
  <si>
    <t>1 - To be Trained</t>
  </si>
  <si>
    <t>2 - Trained Learner</t>
  </si>
  <si>
    <t>3 - Trained can work under supervision</t>
  </si>
  <si>
    <t>4 - Trained can work own</t>
  </si>
  <si>
    <t>5 - Trained &amp; can Train others</t>
  </si>
  <si>
    <t>SIGNATURE OF HOD :</t>
  </si>
  <si>
    <t>SIGNATURE OF HR</t>
  </si>
  <si>
    <t>UPDATION DATE :</t>
  </si>
  <si>
    <t xml:space="preserve">NEXT UPDATION DATE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</si>
</sst>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44">
    <xf numFmtId="0" fontId="0" fillId="0" borderId="0" xfId="0"/>
    <xf numFmtId="0" fontId="1" fillId="0" borderId="0" xfId="0" applyFont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4" fillId="0" borderId="0" xfId="0" applyFont="1"/>
    <xf numFmtId="0" fontId="1" fillId="0" borderId="5" xfId="0" applyFont="1" applyBorder="1"/>
    <xf numFmtId="0" fontId="2" fillId="0" borderId="8" xfId="0" applyFont="1" applyBorder="1" applyAlignment="1">
      <alignment horizontal="center" vertical="center" wrapText="1"/>
    </xf>
    <xf numFmtId="0" fontId="1" fillId="0" borderId="3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4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8" fillId="0" borderId="3" xfId="0" applyFont="1" applyBorder="1"/>
    <xf numFmtId="0" fontId="3" fillId="0" borderId="0" xfId="0" applyFont="1" applyAlignment="1">
      <alignment horizontal="center" vertical="center"/>
    </xf>
    <xf numFmtId="0" fontId="4" fillId="0" borderId="3" xfId="0" applyFont="1" applyBorder="1" applyAlignment="1">
      <alignment wrapText="1"/>
    </xf>
    <xf numFmtId="0" fontId="0" fillId="0" borderId="3" xfId="0" applyBorder="1"/>
    <xf numFmtId="1" fontId="0" fillId="0" borderId="3" xfId="0" applyNumberFormat="1" applyBorder="1"/>
    <xf numFmtId="1" fontId="1" fillId="0" borderId="3" xfId="0" applyNumberFormat="1" applyFont="1" applyBorder="1"/>
    <xf numFmtId="49" fontId="8" fillId="0" borderId="3" xfId="0" applyNumberFormat="1" applyFont="1" applyBorder="1" applyAlignment="1">
      <alignment horizontal="left"/>
    </xf>
    <xf numFmtId="0" fontId="8" fillId="0" borderId="3" xfId="0" applyFont="1" applyBorder="1" applyAlignment="1">
      <alignment horizontal="left"/>
    </xf>
    <xf numFmtId="2" fontId="1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2">
    <cellStyle name="Normal" xfId="0" builtinId="0"/>
    <cellStyle name="Normal 13" xfId="1" xr:uid="{00000000-0005-0000-0000-000001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76201</xdr:colOff>
      <xdr:row>1</xdr:row>
      <xdr:rowOff>38099</xdr:rowOff>
    </xdr:from>
    <xdr:to>
      <xdr:col>3</xdr:col>
      <xdr:colOff>628651</xdr:colOff>
      <xdr:row>2</xdr:row>
      <xdr:rowOff>51863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1" y="200024"/>
          <a:ext cx="933450" cy="6043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A33"/>
  <sheetViews>
    <sheetView tabSelected="1" workbookViewId="0">
      <pane xSplit="6" topLeftCell="AO1" activePane="topRight" state="frozen"/>
      <selection pane="topRight" activeCell="AY6" sqref="AY6"/>
    </sheetView>
  </sheetViews>
  <sheetFormatPr defaultColWidth="9.140625" defaultRowHeight="12.75"/>
  <cols>
    <col min="1" max="1" width="3.42578125" style="1" customWidth="1"/>
    <col min="2" max="2" width="5.7109375" style="1" bestFit="1" customWidth="1"/>
    <col min="3" max="3" width="8.42578125" style="1" hidden="1" customWidth="1"/>
    <col min="4" max="4" width="10.28515625" style="1" bestFit="1" customWidth="1"/>
    <col min="5" max="5" width="23" style="1" customWidth="1"/>
    <col min="6" max="6" width="17.42578125" style="1" bestFit="1" customWidth="1"/>
    <col min="7" max="21" width="11.140625" style="1" customWidth="1"/>
    <col min="22" max="49" width="10.28515625" style="1" customWidth="1"/>
    <col min="50" max="50" width="10.85546875" style="1" customWidth="1"/>
    <col min="51" max="51" width="12.5703125" style="1" customWidth="1"/>
    <col min="52" max="16384" width="9.140625" style="1"/>
  </cols>
  <sheetData>
    <row r="2" spans="2:53" ht="46.5" customHeight="1" thickBot="1">
      <c r="B2" s="33" t="s">
        <v>0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20"/>
    </row>
    <row r="3" spans="2:53" s="4" customFormat="1" ht="27.75" customHeight="1">
      <c r="B3" s="35" t="s">
        <v>1</v>
      </c>
      <c r="C3" s="36" t="s">
        <v>2</v>
      </c>
      <c r="D3" s="36" t="s">
        <v>3</v>
      </c>
      <c r="E3" s="36" t="s">
        <v>4</v>
      </c>
      <c r="F3" s="36" t="s">
        <v>5</v>
      </c>
      <c r="G3" s="29" t="s">
        <v>6</v>
      </c>
      <c r="H3" s="29"/>
      <c r="I3" s="29"/>
      <c r="J3" s="29" t="s">
        <v>7</v>
      </c>
      <c r="K3" s="29"/>
      <c r="L3" s="29"/>
      <c r="M3" s="29" t="s">
        <v>8</v>
      </c>
      <c r="N3" s="29"/>
      <c r="O3" s="29"/>
      <c r="P3" s="37" t="s">
        <v>9</v>
      </c>
      <c r="Q3" s="38"/>
      <c r="R3" s="39"/>
      <c r="S3" s="41" t="s">
        <v>10</v>
      </c>
      <c r="T3" s="42"/>
      <c r="U3" s="43"/>
      <c r="V3" s="29" t="s">
        <v>11</v>
      </c>
      <c r="W3" s="29"/>
      <c r="X3" s="29"/>
      <c r="Y3" s="28" t="s">
        <v>12</v>
      </c>
      <c r="Z3" s="28"/>
      <c r="AA3" s="28"/>
      <c r="AB3" s="28" t="s">
        <v>13</v>
      </c>
      <c r="AC3" s="28"/>
      <c r="AD3" s="28"/>
      <c r="AE3" s="28" t="s">
        <v>14</v>
      </c>
      <c r="AF3" s="28"/>
      <c r="AG3" s="28"/>
      <c r="AH3" s="29" t="s">
        <v>15</v>
      </c>
      <c r="AI3" s="29"/>
      <c r="AJ3" s="29"/>
      <c r="AK3" s="29" t="s">
        <v>16</v>
      </c>
      <c r="AL3" s="29"/>
      <c r="AM3" s="29"/>
      <c r="AN3" s="29" t="s">
        <v>17</v>
      </c>
      <c r="AO3" s="29"/>
      <c r="AP3" s="29"/>
      <c r="AQ3" s="29" t="s">
        <v>18</v>
      </c>
      <c r="AR3" s="29"/>
      <c r="AS3" s="29"/>
      <c r="AT3" s="29" t="s">
        <v>19</v>
      </c>
      <c r="AU3" s="29"/>
      <c r="AV3" s="40"/>
      <c r="AW3" s="30"/>
      <c r="AX3" s="31"/>
      <c r="AY3" s="31"/>
      <c r="AZ3" s="31"/>
      <c r="BA3" s="32"/>
    </row>
    <row r="4" spans="2:53" ht="31.5">
      <c r="B4" s="35"/>
      <c r="C4" s="36"/>
      <c r="D4" s="36"/>
      <c r="E4" s="36"/>
      <c r="F4" s="36"/>
      <c r="G4" s="17" t="s">
        <v>20</v>
      </c>
      <c r="H4" s="17" t="s">
        <v>21</v>
      </c>
      <c r="I4" s="17" t="s">
        <v>22</v>
      </c>
      <c r="J4" s="17" t="s">
        <v>20</v>
      </c>
      <c r="K4" s="17" t="s">
        <v>21</v>
      </c>
      <c r="L4" s="17" t="s">
        <v>22</v>
      </c>
      <c r="M4" s="17" t="s">
        <v>20</v>
      </c>
      <c r="N4" s="17" t="s">
        <v>21</v>
      </c>
      <c r="O4" s="17" t="s">
        <v>22</v>
      </c>
      <c r="P4" s="18" t="s">
        <v>23</v>
      </c>
      <c r="Q4" s="18" t="s">
        <v>24</v>
      </c>
      <c r="R4" s="18" t="s">
        <v>25</v>
      </c>
      <c r="S4" s="18" t="s">
        <v>23</v>
      </c>
      <c r="T4" s="18" t="s">
        <v>24</v>
      </c>
      <c r="U4" s="8" t="s">
        <v>25</v>
      </c>
      <c r="V4" s="18" t="s">
        <v>23</v>
      </c>
      <c r="W4" s="18" t="s">
        <v>24</v>
      </c>
      <c r="X4" s="18" t="s">
        <v>25</v>
      </c>
      <c r="Y4" s="18" t="s">
        <v>23</v>
      </c>
      <c r="Z4" s="18" t="s">
        <v>24</v>
      </c>
      <c r="AA4" s="18" t="s">
        <v>25</v>
      </c>
      <c r="AB4" s="18" t="s">
        <v>23</v>
      </c>
      <c r="AC4" s="18" t="s">
        <v>24</v>
      </c>
      <c r="AD4" s="18" t="s">
        <v>25</v>
      </c>
      <c r="AE4" s="18" t="s">
        <v>23</v>
      </c>
      <c r="AF4" s="18" t="s">
        <v>24</v>
      </c>
      <c r="AG4" s="18" t="s">
        <v>25</v>
      </c>
      <c r="AH4" s="18" t="s">
        <v>23</v>
      </c>
      <c r="AI4" s="18" t="s">
        <v>24</v>
      </c>
      <c r="AJ4" s="18" t="s">
        <v>25</v>
      </c>
      <c r="AK4" s="18" t="s">
        <v>23</v>
      </c>
      <c r="AL4" s="18" t="s">
        <v>24</v>
      </c>
      <c r="AM4" s="18" t="s">
        <v>25</v>
      </c>
      <c r="AN4" s="18" t="s">
        <v>23</v>
      </c>
      <c r="AO4" s="18" t="s">
        <v>24</v>
      </c>
      <c r="AP4" s="18" t="s">
        <v>25</v>
      </c>
      <c r="AQ4" s="18" t="s">
        <v>23</v>
      </c>
      <c r="AR4" s="18" t="s">
        <v>24</v>
      </c>
      <c r="AS4" s="18" t="s">
        <v>25</v>
      </c>
      <c r="AT4" s="18" t="s">
        <v>23</v>
      </c>
      <c r="AU4" s="18" t="s">
        <v>24</v>
      </c>
      <c r="AV4" s="8" t="s">
        <v>25</v>
      </c>
      <c r="AW4" s="21" t="s">
        <v>26</v>
      </c>
      <c r="AX4" s="21" t="s">
        <v>27</v>
      </c>
      <c r="AY4" s="21" t="s">
        <v>28</v>
      </c>
      <c r="AZ4" s="21"/>
      <c r="BA4" s="21"/>
    </row>
    <row r="5" spans="2:53" ht="15.75" customHeight="1">
      <c r="B5" s="2"/>
      <c r="C5" s="3"/>
      <c r="D5" s="25" t="s">
        <v>29</v>
      </c>
      <c r="E5" s="19" t="s">
        <v>30</v>
      </c>
      <c r="F5" s="19" t="s">
        <v>31</v>
      </c>
      <c r="G5" s="2">
        <v>5</v>
      </c>
      <c r="H5" s="2">
        <v>4</v>
      </c>
      <c r="I5" s="2">
        <f>G5-H5</f>
        <v>1</v>
      </c>
      <c r="J5" s="2">
        <v>5</v>
      </c>
      <c r="K5" s="2">
        <v>4</v>
      </c>
      <c r="L5" s="2">
        <f t="shared" ref="L5:L12" si="0">J5-K5</f>
        <v>1</v>
      </c>
      <c r="M5" s="2">
        <v>5</v>
      </c>
      <c r="N5" s="2">
        <v>4</v>
      </c>
      <c r="O5" s="2">
        <f t="shared" ref="O5:O12" si="1">M5-N5</f>
        <v>1</v>
      </c>
      <c r="P5" s="2">
        <v>5</v>
      </c>
      <c r="Q5" s="2">
        <v>3</v>
      </c>
      <c r="R5" s="2">
        <f t="shared" ref="R5:R12" si="2">P5-Q5</f>
        <v>2</v>
      </c>
      <c r="S5" s="2">
        <v>5</v>
      </c>
      <c r="T5" s="2">
        <v>1</v>
      </c>
      <c r="U5" s="2">
        <f t="shared" ref="U5:U12" si="3">S5-T5</f>
        <v>4</v>
      </c>
      <c r="V5" s="2">
        <v>5</v>
      </c>
      <c r="W5" s="2">
        <v>3</v>
      </c>
      <c r="X5" s="2">
        <f t="shared" ref="X5:X12" si="4">V5-W5</f>
        <v>2</v>
      </c>
      <c r="Y5" s="2">
        <v>5</v>
      </c>
      <c r="Z5" s="2">
        <v>3</v>
      </c>
      <c r="AA5" s="2">
        <f t="shared" ref="AA5:AA12" si="5">Y5-Z5</f>
        <v>2</v>
      </c>
      <c r="AB5" s="2">
        <v>5</v>
      </c>
      <c r="AC5" s="2">
        <v>3</v>
      </c>
      <c r="AD5" s="2">
        <f t="shared" ref="AD5:AD12" si="6">AB5-AC5</f>
        <v>2</v>
      </c>
      <c r="AE5" s="2">
        <v>5</v>
      </c>
      <c r="AF5" s="2">
        <v>3</v>
      </c>
      <c r="AG5" s="2">
        <f t="shared" ref="AG5:AG12" si="7">AE5-AF5</f>
        <v>2</v>
      </c>
      <c r="AH5" s="2">
        <v>5</v>
      </c>
      <c r="AI5" s="2">
        <v>2</v>
      </c>
      <c r="AJ5" s="2">
        <f t="shared" ref="AJ5:AJ12" si="8">AH5-AI5</f>
        <v>3</v>
      </c>
      <c r="AK5" s="2">
        <v>5</v>
      </c>
      <c r="AL5" s="2">
        <v>3</v>
      </c>
      <c r="AM5" s="2">
        <f t="shared" ref="AM5:AM12" si="9">AK5-AL5</f>
        <v>2</v>
      </c>
      <c r="AN5" s="2">
        <v>5</v>
      </c>
      <c r="AO5" s="2">
        <v>2</v>
      </c>
      <c r="AP5" s="2">
        <f t="shared" ref="AP5:AP12" si="10">AN5-AO5</f>
        <v>3</v>
      </c>
      <c r="AQ5" s="2">
        <v>5</v>
      </c>
      <c r="AR5" s="2">
        <v>4</v>
      </c>
      <c r="AS5" s="2">
        <f t="shared" ref="AS5:AS12" si="11">AQ5-AR5</f>
        <v>1</v>
      </c>
      <c r="AT5" s="2">
        <v>5</v>
      </c>
      <c r="AU5" s="2">
        <v>1</v>
      </c>
      <c r="AV5" s="2">
        <f t="shared" ref="AV5:AV12" si="12">AT5-AU5</f>
        <v>4</v>
      </c>
      <c r="AW5" s="9">
        <f>SUM(G5+J5+M5+P5+S5+V5+Y5+AB5+AE5+AH5+AK5+AN5+AQ5+AT5)</f>
        <v>70</v>
      </c>
      <c r="AX5" s="9">
        <f>SUM(H5+K5+N5+Q5+T5+W5+Z5+AC5+AF5+AI5+AL5+AO5+AR5+AU5)</f>
        <v>40</v>
      </c>
      <c r="AY5" s="27">
        <f t="shared" ref="AY5" si="13">AX5/AW5*100</f>
        <v>57.142857142857139</v>
      </c>
      <c r="AZ5" s="22">
        <f t="shared" ref="AZ5" si="14">AW5/5</f>
        <v>14</v>
      </c>
      <c r="BA5" s="23">
        <f t="shared" ref="BA5" si="15">AX5/AZ5</f>
        <v>2.8571428571428572</v>
      </c>
    </row>
    <row r="6" spans="2:53" ht="15.75" customHeight="1">
      <c r="B6" s="2"/>
      <c r="C6" s="3"/>
      <c r="D6" s="25" t="s">
        <v>32</v>
      </c>
      <c r="E6" s="19" t="s">
        <v>33</v>
      </c>
      <c r="F6" s="19" t="s">
        <v>34</v>
      </c>
      <c r="G6" s="2">
        <v>5</v>
      </c>
      <c r="H6" s="2">
        <v>3</v>
      </c>
      <c r="I6" s="2">
        <f t="shared" ref="I6" si="16">G6-H6</f>
        <v>2</v>
      </c>
      <c r="J6" s="2">
        <v>5</v>
      </c>
      <c r="K6" s="2">
        <v>4</v>
      </c>
      <c r="L6" s="2">
        <f t="shared" si="0"/>
        <v>1</v>
      </c>
      <c r="M6" s="2">
        <v>5</v>
      </c>
      <c r="N6" s="2">
        <v>3</v>
      </c>
      <c r="O6" s="2">
        <f t="shared" si="1"/>
        <v>2</v>
      </c>
      <c r="P6" s="2">
        <v>5</v>
      </c>
      <c r="Q6" s="2">
        <v>3</v>
      </c>
      <c r="R6" s="2">
        <f t="shared" si="2"/>
        <v>2</v>
      </c>
      <c r="S6" s="2">
        <v>5</v>
      </c>
      <c r="T6" s="2">
        <v>1</v>
      </c>
      <c r="U6" s="2">
        <f t="shared" si="3"/>
        <v>4</v>
      </c>
      <c r="V6" s="2">
        <v>5</v>
      </c>
      <c r="W6" s="2">
        <v>3</v>
      </c>
      <c r="X6" s="2">
        <f t="shared" si="4"/>
        <v>2</v>
      </c>
      <c r="Y6" s="2">
        <v>5</v>
      </c>
      <c r="Z6" s="2">
        <v>3</v>
      </c>
      <c r="AA6" s="2">
        <f t="shared" si="5"/>
        <v>2</v>
      </c>
      <c r="AB6" s="2">
        <v>5</v>
      </c>
      <c r="AC6" s="2">
        <v>3</v>
      </c>
      <c r="AD6" s="2">
        <f t="shared" si="6"/>
        <v>2</v>
      </c>
      <c r="AE6" s="2">
        <v>5</v>
      </c>
      <c r="AF6" s="2">
        <v>3</v>
      </c>
      <c r="AG6" s="2">
        <f t="shared" si="7"/>
        <v>2</v>
      </c>
      <c r="AH6" s="2">
        <v>5</v>
      </c>
      <c r="AI6" s="2">
        <v>2</v>
      </c>
      <c r="AJ6" s="2">
        <f t="shared" si="8"/>
        <v>3</v>
      </c>
      <c r="AK6" s="2">
        <v>5</v>
      </c>
      <c r="AL6" s="2">
        <v>3</v>
      </c>
      <c r="AM6" s="2">
        <f t="shared" si="9"/>
        <v>2</v>
      </c>
      <c r="AN6" s="2">
        <v>5</v>
      </c>
      <c r="AO6" s="2">
        <v>2</v>
      </c>
      <c r="AP6" s="2">
        <f t="shared" si="10"/>
        <v>3</v>
      </c>
      <c r="AQ6" s="2">
        <v>5</v>
      </c>
      <c r="AR6" s="2">
        <v>4</v>
      </c>
      <c r="AS6" s="2">
        <f t="shared" si="11"/>
        <v>1</v>
      </c>
      <c r="AT6" s="2">
        <v>5</v>
      </c>
      <c r="AU6" s="2">
        <v>1</v>
      </c>
      <c r="AV6" s="2">
        <f t="shared" si="12"/>
        <v>4</v>
      </c>
      <c r="AW6" s="9">
        <f t="shared" ref="AW6:AW12" si="17">SUM(G6+J6+M6+P6+S6+V6+Y6+AB6+AE6+AH6+AK6+AN6+AQ6+AT6)</f>
        <v>70</v>
      </c>
      <c r="AX6" s="9">
        <f t="shared" ref="AX6:AX12" si="18">SUM(H6+K6+N6+Q6+T6+W6+Z6+AC6+AF6+AI6+AL6+AO6+AR6+AU6)</f>
        <v>38</v>
      </c>
      <c r="AY6" s="27">
        <f t="shared" ref="AY6:AY13" si="19">AX6/AW6*100</f>
        <v>54.285714285714285</v>
      </c>
      <c r="AZ6" s="22">
        <f t="shared" ref="AZ6:AZ12" si="20">AW6/5</f>
        <v>14</v>
      </c>
      <c r="BA6" s="23">
        <f t="shared" ref="BA6:BA12" si="21">AX6/AZ6</f>
        <v>2.7142857142857144</v>
      </c>
    </row>
    <row r="7" spans="2:53" ht="15.75" customHeight="1">
      <c r="B7" s="2"/>
      <c r="C7" s="3"/>
      <c r="D7" s="26">
        <v>1558</v>
      </c>
      <c r="E7" s="19" t="s">
        <v>35</v>
      </c>
      <c r="F7" s="19" t="s">
        <v>36</v>
      </c>
      <c r="G7" s="2">
        <v>5</v>
      </c>
      <c r="H7" s="2">
        <v>4</v>
      </c>
      <c r="I7" s="2">
        <f t="shared" ref="I7:I8" si="22">G7-H7</f>
        <v>1</v>
      </c>
      <c r="J7" s="2">
        <v>5</v>
      </c>
      <c r="K7" s="2">
        <v>4</v>
      </c>
      <c r="L7" s="2">
        <f t="shared" si="0"/>
        <v>1</v>
      </c>
      <c r="M7" s="2">
        <v>5</v>
      </c>
      <c r="N7" s="2">
        <v>4</v>
      </c>
      <c r="O7" s="2">
        <f t="shared" si="1"/>
        <v>1</v>
      </c>
      <c r="P7" s="2">
        <v>5</v>
      </c>
      <c r="Q7" s="2">
        <v>3</v>
      </c>
      <c r="R7" s="2">
        <f t="shared" si="2"/>
        <v>2</v>
      </c>
      <c r="S7" s="2">
        <v>5</v>
      </c>
      <c r="T7" s="2">
        <v>1</v>
      </c>
      <c r="U7" s="2">
        <f t="shared" si="3"/>
        <v>4</v>
      </c>
      <c r="V7" s="2">
        <v>5</v>
      </c>
      <c r="W7" s="2">
        <v>3</v>
      </c>
      <c r="X7" s="2">
        <f t="shared" si="4"/>
        <v>2</v>
      </c>
      <c r="Y7" s="2">
        <v>5</v>
      </c>
      <c r="Z7" s="2">
        <v>3</v>
      </c>
      <c r="AA7" s="2">
        <f t="shared" si="5"/>
        <v>2</v>
      </c>
      <c r="AB7" s="2">
        <v>5</v>
      </c>
      <c r="AC7" s="2">
        <v>3</v>
      </c>
      <c r="AD7" s="2">
        <f t="shared" si="6"/>
        <v>2</v>
      </c>
      <c r="AE7" s="2">
        <v>5</v>
      </c>
      <c r="AF7" s="2">
        <v>3</v>
      </c>
      <c r="AG7" s="2">
        <f t="shared" si="7"/>
        <v>2</v>
      </c>
      <c r="AH7" s="2">
        <v>5</v>
      </c>
      <c r="AI7" s="2">
        <v>2</v>
      </c>
      <c r="AJ7" s="2">
        <f t="shared" si="8"/>
        <v>3</v>
      </c>
      <c r="AK7" s="2">
        <v>5</v>
      </c>
      <c r="AL7" s="2">
        <v>3</v>
      </c>
      <c r="AM7" s="2">
        <f t="shared" si="9"/>
        <v>2</v>
      </c>
      <c r="AN7" s="2">
        <v>5</v>
      </c>
      <c r="AO7" s="2">
        <v>2</v>
      </c>
      <c r="AP7" s="2">
        <f t="shared" si="10"/>
        <v>3</v>
      </c>
      <c r="AQ7" s="2">
        <v>5</v>
      </c>
      <c r="AR7" s="2">
        <v>4</v>
      </c>
      <c r="AS7" s="2">
        <f t="shared" si="11"/>
        <v>1</v>
      </c>
      <c r="AT7" s="2">
        <v>5</v>
      </c>
      <c r="AU7" s="2">
        <v>1</v>
      </c>
      <c r="AV7" s="2">
        <f t="shared" si="12"/>
        <v>4</v>
      </c>
      <c r="AW7" s="9">
        <f t="shared" si="17"/>
        <v>70</v>
      </c>
      <c r="AX7" s="9">
        <f t="shared" si="18"/>
        <v>40</v>
      </c>
      <c r="AY7" s="27">
        <f t="shared" si="19"/>
        <v>57.142857142857139</v>
      </c>
      <c r="AZ7" s="22">
        <f t="shared" si="20"/>
        <v>14</v>
      </c>
      <c r="BA7" s="23">
        <f t="shared" si="21"/>
        <v>2.8571428571428572</v>
      </c>
    </row>
    <row r="8" spans="2:53" ht="15.75" customHeight="1">
      <c r="B8" s="2"/>
      <c r="C8" s="3"/>
      <c r="D8" s="26">
        <v>2069</v>
      </c>
      <c r="E8" s="19" t="s">
        <v>37</v>
      </c>
      <c r="F8" s="19" t="s">
        <v>38</v>
      </c>
      <c r="G8" s="2">
        <v>5</v>
      </c>
      <c r="H8" s="2">
        <v>3</v>
      </c>
      <c r="I8" s="2">
        <f t="shared" si="22"/>
        <v>2</v>
      </c>
      <c r="J8" s="2">
        <v>5</v>
      </c>
      <c r="K8" s="2">
        <v>3</v>
      </c>
      <c r="L8" s="2">
        <f t="shared" si="0"/>
        <v>2</v>
      </c>
      <c r="M8" s="2">
        <v>5</v>
      </c>
      <c r="N8" s="2">
        <v>4</v>
      </c>
      <c r="O8" s="2">
        <f t="shared" si="1"/>
        <v>1</v>
      </c>
      <c r="P8" s="2">
        <v>5</v>
      </c>
      <c r="Q8" s="2">
        <v>3</v>
      </c>
      <c r="R8" s="2">
        <f t="shared" si="2"/>
        <v>2</v>
      </c>
      <c r="S8" s="2">
        <v>5</v>
      </c>
      <c r="T8" s="2">
        <v>1</v>
      </c>
      <c r="U8" s="2">
        <f t="shared" si="3"/>
        <v>4</v>
      </c>
      <c r="V8" s="2">
        <v>5</v>
      </c>
      <c r="W8" s="2">
        <v>3</v>
      </c>
      <c r="X8" s="2">
        <f t="shared" si="4"/>
        <v>2</v>
      </c>
      <c r="Y8" s="2">
        <v>5</v>
      </c>
      <c r="Z8" s="2">
        <v>3</v>
      </c>
      <c r="AA8" s="2">
        <f t="shared" si="5"/>
        <v>2</v>
      </c>
      <c r="AB8" s="2">
        <v>5</v>
      </c>
      <c r="AC8" s="2">
        <v>3</v>
      </c>
      <c r="AD8" s="2">
        <f t="shared" si="6"/>
        <v>2</v>
      </c>
      <c r="AE8" s="2">
        <v>5</v>
      </c>
      <c r="AF8" s="2">
        <v>3</v>
      </c>
      <c r="AG8" s="2">
        <f t="shared" si="7"/>
        <v>2</v>
      </c>
      <c r="AH8" s="2">
        <v>5</v>
      </c>
      <c r="AI8" s="2">
        <v>2</v>
      </c>
      <c r="AJ8" s="2">
        <f t="shared" si="8"/>
        <v>3</v>
      </c>
      <c r="AK8" s="2">
        <v>5</v>
      </c>
      <c r="AL8" s="2">
        <v>3</v>
      </c>
      <c r="AM8" s="2">
        <f t="shared" si="9"/>
        <v>2</v>
      </c>
      <c r="AN8" s="2">
        <v>5</v>
      </c>
      <c r="AO8" s="2">
        <v>2</v>
      </c>
      <c r="AP8" s="2">
        <f t="shared" si="10"/>
        <v>3</v>
      </c>
      <c r="AQ8" s="2">
        <v>5</v>
      </c>
      <c r="AR8" s="2">
        <v>3</v>
      </c>
      <c r="AS8" s="2">
        <f t="shared" si="11"/>
        <v>2</v>
      </c>
      <c r="AT8" s="2">
        <v>5</v>
      </c>
      <c r="AU8" s="2">
        <v>1</v>
      </c>
      <c r="AV8" s="2">
        <f t="shared" si="12"/>
        <v>4</v>
      </c>
      <c r="AW8" s="9">
        <f t="shared" si="17"/>
        <v>70</v>
      </c>
      <c r="AX8" s="9">
        <f t="shared" si="18"/>
        <v>37</v>
      </c>
      <c r="AY8" s="27">
        <f t="shared" si="19"/>
        <v>52.857142857142861</v>
      </c>
      <c r="AZ8" s="22">
        <f t="shared" si="20"/>
        <v>14</v>
      </c>
      <c r="BA8" s="23">
        <f t="shared" si="21"/>
        <v>2.6428571428571428</v>
      </c>
    </row>
    <row r="9" spans="2:53" ht="15.75" customHeight="1">
      <c r="B9" s="2"/>
      <c r="C9" s="3"/>
      <c r="D9" s="26">
        <v>2282</v>
      </c>
      <c r="E9" s="19" t="s">
        <v>39</v>
      </c>
      <c r="F9" s="19" t="s">
        <v>38</v>
      </c>
      <c r="G9" s="2">
        <v>5</v>
      </c>
      <c r="H9" s="2">
        <v>4</v>
      </c>
      <c r="I9" s="2">
        <f>G9-H9</f>
        <v>1</v>
      </c>
      <c r="J9" s="2">
        <v>5</v>
      </c>
      <c r="K9" s="2">
        <v>4</v>
      </c>
      <c r="L9" s="2">
        <f t="shared" ref="L9" si="23">J9-K9</f>
        <v>1</v>
      </c>
      <c r="M9" s="2">
        <v>5</v>
      </c>
      <c r="N9" s="2">
        <v>3</v>
      </c>
      <c r="O9" s="2">
        <f t="shared" ref="O9" si="24">M9-N9</f>
        <v>2</v>
      </c>
      <c r="P9" s="2">
        <v>5</v>
      </c>
      <c r="Q9" s="2">
        <v>3</v>
      </c>
      <c r="R9" s="2">
        <f t="shared" ref="R9" si="25">P9-Q9</f>
        <v>2</v>
      </c>
      <c r="S9" s="2">
        <v>5</v>
      </c>
      <c r="T9" s="2">
        <v>1</v>
      </c>
      <c r="U9" s="2">
        <f t="shared" ref="U9" si="26">S9-T9</f>
        <v>4</v>
      </c>
      <c r="V9" s="2">
        <v>5</v>
      </c>
      <c r="W9" s="2">
        <v>3</v>
      </c>
      <c r="X9" s="2">
        <f t="shared" ref="X9" si="27">V9-W9</f>
        <v>2</v>
      </c>
      <c r="Y9" s="2">
        <v>5</v>
      </c>
      <c r="Z9" s="2">
        <v>3</v>
      </c>
      <c r="AA9" s="2">
        <f t="shared" ref="AA9" si="28">Y9-Z9</f>
        <v>2</v>
      </c>
      <c r="AB9" s="2">
        <v>5</v>
      </c>
      <c r="AC9" s="2">
        <v>3</v>
      </c>
      <c r="AD9" s="2">
        <f t="shared" ref="AD9" si="29">AB9-AC9</f>
        <v>2</v>
      </c>
      <c r="AE9" s="2">
        <v>5</v>
      </c>
      <c r="AF9" s="2">
        <v>3</v>
      </c>
      <c r="AG9" s="2">
        <f t="shared" ref="AG9" si="30">AE9-AF9</f>
        <v>2</v>
      </c>
      <c r="AH9" s="2">
        <v>5</v>
      </c>
      <c r="AI9" s="2">
        <v>2</v>
      </c>
      <c r="AJ9" s="2">
        <f t="shared" ref="AJ9" si="31">AH9-AI9</f>
        <v>3</v>
      </c>
      <c r="AK9" s="2">
        <v>5</v>
      </c>
      <c r="AL9" s="2">
        <v>3</v>
      </c>
      <c r="AM9" s="2">
        <f t="shared" ref="AM9" si="32">AK9-AL9</f>
        <v>2</v>
      </c>
      <c r="AN9" s="2">
        <v>5</v>
      </c>
      <c r="AO9" s="2">
        <v>2</v>
      </c>
      <c r="AP9" s="2">
        <f t="shared" ref="AP9" si="33">AN9-AO9</f>
        <v>3</v>
      </c>
      <c r="AQ9" s="2">
        <v>5</v>
      </c>
      <c r="AR9" s="2">
        <v>3</v>
      </c>
      <c r="AS9" s="2">
        <f t="shared" ref="AS9" si="34">AQ9-AR9</f>
        <v>2</v>
      </c>
      <c r="AT9" s="2">
        <v>5</v>
      </c>
      <c r="AU9" s="2">
        <v>1</v>
      </c>
      <c r="AV9" s="2">
        <f t="shared" ref="AV9" si="35">AT9-AU9</f>
        <v>4</v>
      </c>
      <c r="AW9" s="9">
        <f t="shared" ref="AW9" si="36">SUM(G9+J9+M9+P9+S9+V9+Y9+AB9+AE9+AH9+AK9+AN9+AQ9+AT9)</f>
        <v>70</v>
      </c>
      <c r="AX9" s="9">
        <f t="shared" ref="AX9" si="37">SUM(H9+K9+N9+Q9+T9+W9+Z9+AC9+AF9+AI9+AL9+AO9+AR9+AU9)</f>
        <v>38</v>
      </c>
      <c r="AY9" s="27">
        <f t="shared" ref="AY9" si="38">AX9/AW9*100</f>
        <v>54.285714285714285</v>
      </c>
      <c r="AZ9" s="22">
        <f t="shared" ref="AZ9" si="39">AW9/5</f>
        <v>14</v>
      </c>
      <c r="BA9" s="23">
        <f t="shared" ref="BA9" si="40">AX9/AZ9</f>
        <v>2.7142857142857144</v>
      </c>
    </row>
    <row r="10" spans="2:53" ht="15.75" customHeight="1">
      <c r="B10" s="2"/>
      <c r="C10" s="3"/>
      <c r="D10" s="26">
        <v>2292</v>
      </c>
      <c r="E10" s="19" t="s">
        <v>40</v>
      </c>
      <c r="F10" s="19" t="s">
        <v>38</v>
      </c>
      <c r="G10" s="2">
        <v>5</v>
      </c>
      <c r="H10" s="2">
        <v>3</v>
      </c>
      <c r="I10" s="2">
        <f>G10-H10</f>
        <v>2</v>
      </c>
      <c r="J10" s="2">
        <v>5</v>
      </c>
      <c r="K10" s="2">
        <v>3</v>
      </c>
      <c r="L10" s="2">
        <f t="shared" ref="L10" si="41">J10-K10</f>
        <v>2</v>
      </c>
      <c r="M10" s="2">
        <v>5</v>
      </c>
      <c r="N10" s="2">
        <v>3</v>
      </c>
      <c r="O10" s="2">
        <f t="shared" ref="O10" si="42">M10-N10</f>
        <v>2</v>
      </c>
      <c r="P10" s="2">
        <v>5</v>
      </c>
      <c r="Q10" s="2">
        <v>3</v>
      </c>
      <c r="R10" s="2">
        <f t="shared" ref="R10" si="43">P10-Q10</f>
        <v>2</v>
      </c>
      <c r="S10" s="2">
        <v>5</v>
      </c>
      <c r="T10" s="2">
        <v>1</v>
      </c>
      <c r="U10" s="2">
        <f t="shared" ref="U10" si="44">S10-T10</f>
        <v>4</v>
      </c>
      <c r="V10" s="2">
        <v>5</v>
      </c>
      <c r="W10" s="2">
        <v>3</v>
      </c>
      <c r="X10" s="2">
        <f t="shared" ref="X10" si="45">V10-W10</f>
        <v>2</v>
      </c>
      <c r="Y10" s="2">
        <v>5</v>
      </c>
      <c r="Z10" s="2">
        <v>3</v>
      </c>
      <c r="AA10" s="2">
        <f t="shared" ref="AA10" si="46">Y10-Z10</f>
        <v>2</v>
      </c>
      <c r="AB10" s="2">
        <v>5</v>
      </c>
      <c r="AC10" s="2">
        <v>3</v>
      </c>
      <c r="AD10" s="2">
        <f t="shared" ref="AD10" si="47">AB10-AC10</f>
        <v>2</v>
      </c>
      <c r="AE10" s="2">
        <v>5</v>
      </c>
      <c r="AF10" s="2">
        <v>3</v>
      </c>
      <c r="AG10" s="2">
        <f t="shared" ref="AG10" si="48">AE10-AF10</f>
        <v>2</v>
      </c>
      <c r="AH10" s="2">
        <v>5</v>
      </c>
      <c r="AI10" s="2">
        <v>2</v>
      </c>
      <c r="AJ10" s="2">
        <f t="shared" ref="AJ10" si="49">AH10-AI10</f>
        <v>3</v>
      </c>
      <c r="AK10" s="2">
        <v>5</v>
      </c>
      <c r="AL10" s="2">
        <v>3</v>
      </c>
      <c r="AM10" s="2">
        <f t="shared" ref="AM10" si="50">AK10-AL10</f>
        <v>2</v>
      </c>
      <c r="AN10" s="2">
        <v>5</v>
      </c>
      <c r="AO10" s="2">
        <v>2</v>
      </c>
      <c r="AP10" s="2">
        <f t="shared" ref="AP10" si="51">AN10-AO10</f>
        <v>3</v>
      </c>
      <c r="AQ10" s="2">
        <v>5</v>
      </c>
      <c r="AR10" s="2">
        <v>3</v>
      </c>
      <c r="AS10" s="2">
        <f t="shared" ref="AS10" si="52">AQ10-AR10</f>
        <v>2</v>
      </c>
      <c r="AT10" s="2">
        <v>5</v>
      </c>
      <c r="AU10" s="2">
        <v>1</v>
      </c>
      <c r="AV10" s="2">
        <f t="shared" ref="AV10" si="53">AT10-AU10</f>
        <v>4</v>
      </c>
      <c r="AW10" s="9">
        <f t="shared" ref="AW10" si="54">SUM(G10+J10+M10+P10+S10+V10+Y10+AB10+AE10+AH10+AK10+AN10+AQ10+AT10)</f>
        <v>70</v>
      </c>
      <c r="AX10" s="9">
        <f t="shared" ref="AX10" si="55">SUM(H10+K10+N10+Q10+T10+W10+Z10+AC10+AF10+AI10+AL10+AO10+AR10+AU10)</f>
        <v>36</v>
      </c>
      <c r="AY10" s="27">
        <f t="shared" ref="AY10" si="56">AX10/AW10*100</f>
        <v>51.428571428571423</v>
      </c>
      <c r="AZ10" s="22">
        <f t="shared" ref="AZ10" si="57">AW10/5</f>
        <v>14</v>
      </c>
      <c r="BA10" s="23">
        <f t="shared" ref="BA10" si="58">AX10/AZ10</f>
        <v>2.5714285714285716</v>
      </c>
    </row>
    <row r="11" spans="2:53" ht="15.75" customHeight="1">
      <c r="B11" s="2"/>
      <c r="C11" s="3"/>
      <c r="D11" s="26">
        <v>2332</v>
      </c>
      <c r="E11" s="19" t="s">
        <v>41</v>
      </c>
      <c r="F11" s="19" t="s">
        <v>42</v>
      </c>
      <c r="G11" s="2">
        <v>5</v>
      </c>
      <c r="H11" s="2">
        <v>4</v>
      </c>
      <c r="I11" s="2">
        <f>G11-H11</f>
        <v>1</v>
      </c>
      <c r="J11" s="2">
        <v>5</v>
      </c>
      <c r="K11" s="2">
        <v>4</v>
      </c>
      <c r="L11" s="2">
        <f t="shared" ref="L11" si="59">J11-K11</f>
        <v>1</v>
      </c>
      <c r="M11" s="2">
        <v>5</v>
      </c>
      <c r="N11" s="2">
        <v>3</v>
      </c>
      <c r="O11" s="2">
        <f t="shared" ref="O11" si="60">M11-N11</f>
        <v>2</v>
      </c>
      <c r="P11" s="2">
        <v>5</v>
      </c>
      <c r="Q11" s="2">
        <v>3</v>
      </c>
      <c r="R11" s="2">
        <f t="shared" ref="R11" si="61">P11-Q11</f>
        <v>2</v>
      </c>
      <c r="S11" s="2">
        <v>5</v>
      </c>
      <c r="T11" s="2">
        <v>4</v>
      </c>
      <c r="U11" s="2">
        <f t="shared" ref="U11" si="62">S11-T11</f>
        <v>1</v>
      </c>
      <c r="V11" s="2">
        <v>5</v>
      </c>
      <c r="W11" s="2">
        <v>4</v>
      </c>
      <c r="X11" s="2">
        <f t="shared" ref="X11" si="63">V11-W11</f>
        <v>1</v>
      </c>
      <c r="Y11" s="2">
        <v>5</v>
      </c>
      <c r="Z11" s="2">
        <v>4</v>
      </c>
      <c r="AA11" s="2">
        <f t="shared" ref="AA11" si="64">Y11-Z11</f>
        <v>1</v>
      </c>
      <c r="AB11" s="2">
        <v>5</v>
      </c>
      <c r="AC11" s="2">
        <v>4</v>
      </c>
      <c r="AD11" s="2">
        <f t="shared" ref="AD11" si="65">AB11-AC11</f>
        <v>1</v>
      </c>
      <c r="AE11" s="2">
        <v>5</v>
      </c>
      <c r="AF11" s="2">
        <v>4</v>
      </c>
      <c r="AG11" s="2">
        <f t="shared" ref="AG11" si="66">AE11-AF11</f>
        <v>1</v>
      </c>
      <c r="AH11" s="2">
        <v>5</v>
      </c>
      <c r="AI11" s="2">
        <v>4</v>
      </c>
      <c r="AJ11" s="2">
        <f t="shared" ref="AJ11" si="67">AH11-AI11</f>
        <v>1</v>
      </c>
      <c r="AK11" s="2">
        <v>5</v>
      </c>
      <c r="AL11" s="2">
        <v>4</v>
      </c>
      <c r="AM11" s="2">
        <f t="shared" ref="AM11" si="68">AK11-AL11</f>
        <v>1</v>
      </c>
      <c r="AN11" s="2">
        <v>5</v>
      </c>
      <c r="AO11" s="2">
        <v>4</v>
      </c>
      <c r="AP11" s="2">
        <f t="shared" ref="AP11" si="69">AN11-AO11</f>
        <v>1</v>
      </c>
      <c r="AQ11" s="2">
        <v>5</v>
      </c>
      <c r="AR11" s="2">
        <v>4</v>
      </c>
      <c r="AS11" s="2">
        <f t="shared" ref="AS11" si="70">AQ11-AR11</f>
        <v>1</v>
      </c>
      <c r="AT11" s="2">
        <v>5</v>
      </c>
      <c r="AU11" s="2">
        <v>1</v>
      </c>
      <c r="AV11" s="2">
        <f t="shared" ref="AV11" si="71">AT11-AU11</f>
        <v>4</v>
      </c>
      <c r="AW11" s="9">
        <f t="shared" ref="AW11" si="72">SUM(G11+J11+M11+P11+S11+V11+Y11+AB11+AE11+AH11+AK11+AN11+AQ11+AT11)</f>
        <v>70</v>
      </c>
      <c r="AX11" s="9">
        <f t="shared" ref="AX11" si="73">SUM(H11+K11+N11+Q11+T11+W11+Z11+AC11+AF11+AI11+AL11+AO11+AR11+AU11)</f>
        <v>51</v>
      </c>
      <c r="AY11" s="27">
        <f t="shared" ref="AY11" si="74">AX11/AW11*100</f>
        <v>72.857142857142847</v>
      </c>
      <c r="AZ11" s="22">
        <f t="shared" ref="AZ11" si="75">AW11/5</f>
        <v>14</v>
      </c>
      <c r="BA11" s="23">
        <f t="shared" ref="BA11" si="76">AX11/AZ11</f>
        <v>3.6428571428571428</v>
      </c>
    </row>
    <row r="12" spans="2:53" ht="15.75" customHeight="1">
      <c r="B12" s="2"/>
      <c r="C12" s="3"/>
      <c r="D12" s="26">
        <v>2518</v>
      </c>
      <c r="E12" s="19" t="s">
        <v>43</v>
      </c>
      <c r="F12" s="19" t="s">
        <v>44</v>
      </c>
      <c r="G12" s="2">
        <v>5</v>
      </c>
      <c r="H12" s="2">
        <v>3</v>
      </c>
      <c r="I12" s="2">
        <f>G12-H12</f>
        <v>2</v>
      </c>
      <c r="J12" s="2">
        <v>5</v>
      </c>
      <c r="K12" s="2">
        <v>3</v>
      </c>
      <c r="L12" s="2">
        <f t="shared" si="0"/>
        <v>2</v>
      </c>
      <c r="M12" s="2">
        <v>5</v>
      </c>
      <c r="N12" s="2">
        <v>3</v>
      </c>
      <c r="O12" s="2">
        <f t="shared" si="1"/>
        <v>2</v>
      </c>
      <c r="P12" s="2">
        <v>5</v>
      </c>
      <c r="Q12" s="2">
        <v>3</v>
      </c>
      <c r="R12" s="2">
        <f t="shared" si="2"/>
        <v>2</v>
      </c>
      <c r="S12" s="2">
        <v>5</v>
      </c>
      <c r="T12" s="2">
        <v>1</v>
      </c>
      <c r="U12" s="2">
        <f t="shared" si="3"/>
        <v>4</v>
      </c>
      <c r="V12" s="2">
        <v>5</v>
      </c>
      <c r="W12" s="2">
        <v>3</v>
      </c>
      <c r="X12" s="2">
        <f t="shared" si="4"/>
        <v>2</v>
      </c>
      <c r="Y12" s="2">
        <v>5</v>
      </c>
      <c r="Z12" s="2">
        <v>3</v>
      </c>
      <c r="AA12" s="2">
        <f t="shared" si="5"/>
        <v>2</v>
      </c>
      <c r="AB12" s="2">
        <v>5</v>
      </c>
      <c r="AC12" s="2">
        <v>3</v>
      </c>
      <c r="AD12" s="2">
        <f t="shared" si="6"/>
        <v>2</v>
      </c>
      <c r="AE12" s="2">
        <v>5</v>
      </c>
      <c r="AF12" s="2">
        <v>3</v>
      </c>
      <c r="AG12" s="2">
        <f t="shared" si="7"/>
        <v>2</v>
      </c>
      <c r="AH12" s="2">
        <v>5</v>
      </c>
      <c r="AI12" s="2">
        <v>2</v>
      </c>
      <c r="AJ12" s="2">
        <f t="shared" si="8"/>
        <v>3</v>
      </c>
      <c r="AK12" s="2">
        <v>5</v>
      </c>
      <c r="AL12" s="2">
        <v>3</v>
      </c>
      <c r="AM12" s="2">
        <f t="shared" si="9"/>
        <v>2</v>
      </c>
      <c r="AN12" s="2">
        <v>5</v>
      </c>
      <c r="AO12" s="2">
        <v>2</v>
      </c>
      <c r="AP12" s="2">
        <f t="shared" si="10"/>
        <v>3</v>
      </c>
      <c r="AQ12" s="2">
        <v>5</v>
      </c>
      <c r="AR12" s="2">
        <v>3</v>
      </c>
      <c r="AS12" s="2">
        <f t="shared" si="11"/>
        <v>2</v>
      </c>
      <c r="AT12" s="2">
        <v>5</v>
      </c>
      <c r="AU12" s="2">
        <v>1</v>
      </c>
      <c r="AV12" s="2">
        <f t="shared" si="12"/>
        <v>4</v>
      </c>
      <c r="AW12" s="9">
        <f t="shared" si="17"/>
        <v>70</v>
      </c>
      <c r="AX12" s="9">
        <f t="shared" si="18"/>
        <v>36</v>
      </c>
      <c r="AY12" s="27">
        <f t="shared" si="19"/>
        <v>51.428571428571423</v>
      </c>
      <c r="AZ12" s="22">
        <f t="shared" si="20"/>
        <v>14</v>
      </c>
      <c r="BA12" s="23">
        <f t="shared" si="21"/>
        <v>2.5714285714285716</v>
      </c>
    </row>
    <row r="13" spans="2:53" ht="15" customHeight="1">
      <c r="B13" s="10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2"/>
      <c r="AW13" s="9">
        <f>SUM(AW5:AW12)</f>
        <v>560</v>
      </c>
      <c r="AX13" s="9">
        <f>SUM(AX5:AX12)</f>
        <v>316</v>
      </c>
      <c r="AY13" s="27">
        <f t="shared" si="19"/>
        <v>56.428571428571431</v>
      </c>
      <c r="AZ13" s="9"/>
      <c r="BA13" s="24">
        <f>AVERAGE(BA5:BA12)</f>
        <v>2.8214285714285716</v>
      </c>
    </row>
    <row r="14" spans="2:53" ht="15.75">
      <c r="B14" s="13"/>
      <c r="D14" s="5" t="s">
        <v>45</v>
      </c>
      <c r="E14" s="4"/>
      <c r="AV14" s="14"/>
    </row>
    <row r="15" spans="2:53" ht="15.75">
      <c r="B15" s="13"/>
      <c r="D15" s="4" t="s">
        <v>46</v>
      </c>
      <c r="E15" s="4"/>
      <c r="AV15" s="14"/>
    </row>
    <row r="16" spans="2:53" ht="15.75">
      <c r="B16" s="13"/>
      <c r="D16" s="4"/>
      <c r="E16" s="4" t="s">
        <v>47</v>
      </c>
      <c r="AV16" s="14"/>
    </row>
    <row r="17" spans="2:48" ht="15.75">
      <c r="B17" s="13"/>
      <c r="D17" s="4"/>
      <c r="E17" s="4" t="s">
        <v>48</v>
      </c>
      <c r="AV17" s="14"/>
    </row>
    <row r="18" spans="2:48" ht="15.75">
      <c r="B18" s="13"/>
      <c r="D18" s="4"/>
      <c r="E18" s="4" t="s">
        <v>49</v>
      </c>
      <c r="AV18" s="14"/>
    </row>
    <row r="19" spans="2:48" ht="15.75">
      <c r="B19" s="13"/>
      <c r="D19" s="4"/>
      <c r="E19" s="4" t="s">
        <v>50</v>
      </c>
      <c r="AV19" s="14"/>
    </row>
    <row r="20" spans="2:48" ht="15.75">
      <c r="B20" s="13"/>
      <c r="D20" s="4"/>
      <c r="E20" s="4" t="s">
        <v>51</v>
      </c>
      <c r="AV20" s="14"/>
    </row>
    <row r="21" spans="2:48" ht="15.75">
      <c r="B21" s="13"/>
      <c r="D21" s="4"/>
      <c r="E21" s="4" t="s">
        <v>52</v>
      </c>
      <c r="AV21" s="14"/>
    </row>
    <row r="22" spans="2:48">
      <c r="B22" s="13"/>
      <c r="AV22" s="14"/>
    </row>
    <row r="23" spans="2:48">
      <c r="B23" s="15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16"/>
    </row>
    <row r="24" spans="2:48">
      <c r="B24" s="10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2"/>
    </row>
    <row r="25" spans="2:48">
      <c r="B25" s="13"/>
      <c r="AV25" s="14"/>
    </row>
    <row r="26" spans="2:48" ht="15.75">
      <c r="B26" s="13"/>
      <c r="D26" s="6" t="s">
        <v>53</v>
      </c>
      <c r="Q26" s="6" t="s">
        <v>54</v>
      </c>
      <c r="AV26" s="14"/>
    </row>
    <row r="27" spans="2:48" ht="15.75">
      <c r="B27" s="13"/>
      <c r="D27" s="6"/>
      <c r="Q27" s="6"/>
      <c r="AV27" s="14"/>
    </row>
    <row r="28" spans="2:48" ht="15.75">
      <c r="B28" s="13"/>
      <c r="D28" s="4"/>
      <c r="AV28" s="14"/>
    </row>
    <row r="29" spans="2:48">
      <c r="B29" s="13"/>
      <c r="AV29" s="14"/>
    </row>
    <row r="30" spans="2:48" ht="15.75">
      <c r="B30" s="13"/>
      <c r="D30" s="6" t="s">
        <v>55</v>
      </c>
      <c r="Q30" s="6" t="s">
        <v>56</v>
      </c>
      <c r="AV30" s="14"/>
    </row>
    <row r="31" spans="2:48">
      <c r="B31" s="13"/>
      <c r="AV31" s="14"/>
    </row>
    <row r="32" spans="2:48">
      <c r="B32" s="13"/>
      <c r="AV32" s="14"/>
    </row>
    <row r="33" spans="2:48">
      <c r="B33" s="15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16"/>
    </row>
  </sheetData>
  <mergeCells count="21">
    <mergeCell ref="B2:AV2"/>
    <mergeCell ref="B3:B4"/>
    <mergeCell ref="C3:C4"/>
    <mergeCell ref="D3:D4"/>
    <mergeCell ref="E3:E4"/>
    <mergeCell ref="F3:F4"/>
    <mergeCell ref="G3:I3"/>
    <mergeCell ref="J3:L3"/>
    <mergeCell ref="M3:O3"/>
    <mergeCell ref="P3:R3"/>
    <mergeCell ref="AK3:AM3"/>
    <mergeCell ref="AN3:AP3"/>
    <mergeCell ref="AQ3:AS3"/>
    <mergeCell ref="AT3:AV3"/>
    <mergeCell ref="S3:U3"/>
    <mergeCell ref="V3:X3"/>
    <mergeCell ref="Y3:AA3"/>
    <mergeCell ref="AB3:AD3"/>
    <mergeCell ref="AE3:AG3"/>
    <mergeCell ref="AH3:AJ3"/>
    <mergeCell ref="AW3:BA3"/>
  </mergeCells>
  <conditionalFormatting sqref="AY5:AY13">
    <cfRule type="cellIs" dxfId="2" priority="4" operator="greaterThan">
      <formula>0</formula>
    </cfRule>
  </conditionalFormatting>
  <conditionalFormatting sqref="D10:D12">
    <cfRule type="duplicateValues" dxfId="1" priority="1"/>
  </conditionalFormatting>
  <conditionalFormatting sqref="D10:D12">
    <cfRule type="duplicateValues" dxfId="0" priority="2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Sys</dc:creator>
  <cp:keywords/>
  <dc:description/>
  <cp:lastModifiedBy>Pravin G [SUKI Software]</cp:lastModifiedBy>
  <cp:revision/>
  <dcterms:created xsi:type="dcterms:W3CDTF">2014-02-07T09:32:25Z</dcterms:created>
  <dcterms:modified xsi:type="dcterms:W3CDTF">2026-04-27T04:35:09Z</dcterms:modified>
  <cp:category/>
  <cp:contentStatus/>
</cp:coreProperties>
</file>