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 filterPrivacy="1"/>
  <xr:revisionPtr revIDLastSave="0" documentId="11_1BEA5AF184D96CAFC80B416D149F73D7ECB0251A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Sheet1!$A$1:$E$89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4" i="1" l="1"/>
  <c r="L2" i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K89" i="1"/>
  <c r="G93" i="1"/>
  <c r="G94" i="1"/>
  <c r="G9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E90" i="1" l="1"/>
  <c r="H90" i="1"/>
  <c r="I90" i="1"/>
  <c r="J90" i="1"/>
  <c r="K90" i="1"/>
  <c r="L90" i="1"/>
  <c r="M90" i="1"/>
  <c r="D90" i="1"/>
  <c r="G27" i="1"/>
  <c r="G28" i="1"/>
  <c r="G29" i="1"/>
  <c r="G59" i="1"/>
  <c r="G60" i="1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F28" i="1"/>
  <c r="F29" i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F60" i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2" i="1"/>
  <c r="G2" i="1" s="1"/>
  <c r="M93" i="1" l="1"/>
  <c r="M94" i="1" s="1"/>
  <c r="F90" i="1"/>
  <c r="G3" i="1"/>
  <c r="G90" i="1" s="1"/>
  <c r="G95" i="1" l="1"/>
  <c r="G99" i="1" s="1"/>
</calcChain>
</file>

<file path=xl/sharedStrings.xml><?xml version="1.0" encoding="utf-8"?>
<sst xmlns="http://schemas.openxmlformats.org/spreadsheetml/2006/main" count="202" uniqueCount="146">
  <si>
    <t>ESI Number</t>
  </si>
  <si>
    <t>Emp.Code</t>
  </si>
  <si>
    <t>Emp.Name</t>
  </si>
  <si>
    <t>WORK DAYS</t>
  </si>
  <si>
    <t>SALARY WAGES</t>
  </si>
  <si>
    <t>EE</t>
  </si>
  <si>
    <t>ER</t>
  </si>
  <si>
    <t>INCENTIVES</t>
  </si>
  <si>
    <t>FINAL</t>
  </si>
  <si>
    <t>SUBHAM NAYAK B</t>
  </si>
  <si>
    <t>THERASA A</t>
  </si>
  <si>
    <t>SUGUMARAN MUNUSAMY</t>
  </si>
  <si>
    <t>SUKUMAR THANGARAJ</t>
  </si>
  <si>
    <t>POOVARASAN</t>
  </si>
  <si>
    <t>JAGADEESH A</t>
  </si>
  <si>
    <t>RAJESH A</t>
  </si>
  <si>
    <t>KAYALVIZHI KARNAN</t>
  </si>
  <si>
    <t>MURALIKRISHNAN V</t>
  </si>
  <si>
    <t>Kumar</t>
  </si>
  <si>
    <t>JANARTHANAN VENKATESAN</t>
  </si>
  <si>
    <t>DAVID M</t>
  </si>
  <si>
    <t>A M IYAPPAN</t>
  </si>
  <si>
    <t>LIYAS A</t>
  </si>
  <si>
    <t>SAKTHI GANESH S</t>
  </si>
  <si>
    <t>ALMELU</t>
  </si>
  <si>
    <t>G RANJITHA</t>
  </si>
  <si>
    <t>MUGILAN</t>
  </si>
  <si>
    <t>S.HARINI</t>
  </si>
  <si>
    <t>SANMUGAPRIYAN P</t>
  </si>
  <si>
    <t>SARATHI RAMAKRISHNAN</t>
  </si>
  <si>
    <t>MANKAIYARKARASI</t>
  </si>
  <si>
    <t>HEMANANTHAN V</t>
  </si>
  <si>
    <t>DINESHKUMAR D</t>
  </si>
  <si>
    <t>ANTONY XAVIER S</t>
  </si>
  <si>
    <t>GOKUL G</t>
  </si>
  <si>
    <t>BHARATHKUMAR</t>
  </si>
  <si>
    <t>USHA P</t>
  </si>
  <si>
    <t>Vetrivizhi J</t>
  </si>
  <si>
    <t>GREESHMA JAYAN</t>
  </si>
  <si>
    <t>SAVITHIRI</t>
  </si>
  <si>
    <t>P VIJAYALAKSHMI</t>
  </si>
  <si>
    <t>SUBASH K</t>
  </si>
  <si>
    <t>VIGNESH S R</t>
  </si>
  <si>
    <t>PRADEEP</t>
  </si>
  <si>
    <t>DHASARATHAN KANNAN</t>
  </si>
  <si>
    <t>KALA C</t>
  </si>
  <si>
    <t>ASHOK M</t>
  </si>
  <si>
    <t>SARABEBE D</t>
  </si>
  <si>
    <t>PRASEETHA LAKSHMI A</t>
  </si>
  <si>
    <t>SARAVANAN RAJARAMAN</t>
  </si>
  <si>
    <t>NITHISH M</t>
  </si>
  <si>
    <t>SIVARAJA CHOLAN P</t>
  </si>
  <si>
    <t>BARMA PREM CHAND</t>
  </si>
  <si>
    <t>AJITH KUMAR R</t>
  </si>
  <si>
    <t>YUVARAJ E</t>
  </si>
  <si>
    <t>NETHAJI A</t>
  </si>
  <si>
    <t>R DINESH</t>
  </si>
  <si>
    <t>RENUKA K</t>
  </si>
  <si>
    <t>R NIVETHA</t>
  </si>
  <si>
    <t>THAMEMUL ANSARI JAMAL MOHAMED ISMAYIL</t>
  </si>
  <si>
    <t>GEETHA DEVARAJ</t>
  </si>
  <si>
    <t>PERUMAREDDY SASIDHAR REDDY</t>
  </si>
  <si>
    <t>ARIVAZHAGAN MATHIYAZHAGAN</t>
  </si>
  <si>
    <t>PRATHISHA S</t>
  </si>
  <si>
    <t>VIKRAM SELVAM</t>
  </si>
  <si>
    <t>SRIDHANALAKSHMI K</t>
  </si>
  <si>
    <t>MOHAN V</t>
  </si>
  <si>
    <t>SHYAM SUNDHAR N</t>
  </si>
  <si>
    <t>M KOKILA</t>
  </si>
  <si>
    <t>ANNAMALAI E</t>
  </si>
  <si>
    <t>DEEPAKKUMAR</t>
  </si>
  <si>
    <t>PRASANTH KUMAR</t>
  </si>
  <si>
    <t>KRITHIGA V</t>
  </si>
  <si>
    <t>MANI KARUPPASAMY</t>
  </si>
  <si>
    <t>ARCHITAA ARVIND</t>
  </si>
  <si>
    <t>M JENARTHAN</t>
  </si>
  <si>
    <t>MAHADEVAN CHINNA MARUTHURJ</t>
  </si>
  <si>
    <t>THAVAMANI S</t>
  </si>
  <si>
    <t>PREETHI SURESHBABU</t>
  </si>
  <si>
    <t>ANN MARIA FREDY</t>
  </si>
  <si>
    <t>SONTI CHAITHANYA</t>
  </si>
  <si>
    <t>LOGESH T</t>
  </si>
  <si>
    <t>SUKUMAR S</t>
  </si>
  <si>
    <t>VIJAYANTONY D</t>
  </si>
  <si>
    <t>TAMILARASAN</t>
  </si>
  <si>
    <t>MARY JISS</t>
  </si>
  <si>
    <t>SIJO JOSEPH</t>
  </si>
  <si>
    <t>ABARAJITHAN ANANTHAN</t>
  </si>
  <si>
    <t>NAVEEN S</t>
  </si>
  <si>
    <t>KARTHICK M</t>
  </si>
  <si>
    <t>KALAI MUTHU B</t>
  </si>
  <si>
    <t>GOPI S</t>
  </si>
  <si>
    <t>RONALDO JOSE T</t>
  </si>
  <si>
    <t>ADHISIVAN P</t>
  </si>
  <si>
    <t>GOPINATH M</t>
  </si>
  <si>
    <t>S.PARANTHAMAN</t>
  </si>
  <si>
    <t>AKSHAYA B</t>
  </si>
  <si>
    <t>V ASWIN KUMAR</t>
  </si>
  <si>
    <t>POORANI S</t>
  </si>
  <si>
    <t>P ARUNKUMAR</t>
  </si>
  <si>
    <t>RAHUL S</t>
  </si>
  <si>
    <t>ESAKKIAMMAL AARTHY E</t>
  </si>
  <si>
    <t>MANISHA R</t>
  </si>
  <si>
    <t>RAJA DAS</t>
  </si>
  <si>
    <t>BABU MANI</t>
  </si>
  <si>
    <t>SUBASH</t>
  </si>
  <si>
    <t>Murugan</t>
  </si>
  <si>
    <t>Emp ID</t>
  </si>
  <si>
    <t>ESI No.</t>
  </si>
  <si>
    <t>Name of Member</t>
  </si>
  <si>
    <t>SUBHAM NAYAK</t>
  </si>
  <si>
    <t>KUMAR</t>
  </si>
  <si>
    <t>RANJITHA</t>
  </si>
  <si>
    <t>ALAMELU P</t>
  </si>
  <si>
    <t>MUGILAN D</t>
  </si>
  <si>
    <t>Harini  S</t>
  </si>
  <si>
    <t>SHANMUGAPRIYAN</t>
  </si>
  <si>
    <t>Deepakkumar</t>
  </si>
  <si>
    <t>Mankaiyarkarasi  K</t>
  </si>
  <si>
    <t>HEMANANTHAN VELU</t>
  </si>
  <si>
    <t>Antony Xavier S</t>
  </si>
  <si>
    <t>BARATHKUMAR RATHINAKUMAR</t>
  </si>
  <si>
    <t>VETRIVIZHI J</t>
  </si>
  <si>
    <t>GREESHMA</t>
  </si>
  <si>
    <t>SAVITHIRI .</t>
  </si>
  <si>
    <t>S R VIGNESH</t>
  </si>
  <si>
    <t>PRADEEP .</t>
  </si>
  <si>
    <t>SARAVANAN  RAJARAMAN</t>
  </si>
  <si>
    <t>NITHISH</t>
  </si>
  <si>
    <t>THAMEMUL ANSARI</t>
  </si>
  <si>
    <t>S VIKRAM</t>
  </si>
  <si>
    <t>S PRATHISHA</t>
  </si>
  <si>
    <t>PRASANTH SASIKUMAR</t>
  </si>
  <si>
    <t>ARCHITHAA ARVIND</t>
  </si>
  <si>
    <t>MAHADEVAN CHINNA MARUTHURAJ</t>
  </si>
  <si>
    <t>PREETHI  SURESHBABU</t>
  </si>
  <si>
    <t>SOUNTI CHETANYA</t>
  </si>
  <si>
    <t>TAMILARASAN G</t>
  </si>
  <si>
    <t>ABARAJITHAN A</t>
  </si>
  <si>
    <t>DINESHKUMAR</t>
  </si>
  <si>
    <t>NIVETHA R</t>
  </si>
  <si>
    <t>K S MANI KARUPPASAMY</t>
  </si>
  <si>
    <t>GOPI SHANKAR</t>
  </si>
  <si>
    <t>KALIMUTHU B</t>
  </si>
  <si>
    <t>GOPINATH</t>
  </si>
  <si>
    <t>PARANTHAMAN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</si>
</sst>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000"/>
  </numFmts>
  <fonts count="7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65" fontId="1" fillId="0" borderId="2" xfId="0" quotePrefix="1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5" fontId="2" fillId="0" borderId="2" xfId="0" applyNumberFormat="1" applyFont="1" applyBorder="1"/>
    <xf numFmtId="0" fontId="2" fillId="0" borderId="2" xfId="0" applyFont="1" applyBorder="1" applyAlignment="1">
      <alignment horizontal="left"/>
    </xf>
    <xf numFmtId="165" fontId="0" fillId="0" borderId="0" xfId="0" applyNumberFormat="1"/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vertical="top" wrapText="1"/>
    </xf>
    <xf numFmtId="0" fontId="0" fillId="0" borderId="2" xfId="0" applyBorder="1"/>
    <xf numFmtId="165" fontId="0" fillId="0" borderId="2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0" xfId="0" applyNumberFormat="1"/>
    <xf numFmtId="14" fontId="0" fillId="0" borderId="0" xfId="0" applyNumberFormat="1"/>
    <xf numFmtId="1" fontId="0" fillId="2" borderId="2" xfId="0" applyNumberFormat="1" applyFill="1" applyBorder="1"/>
    <xf numFmtId="2" fontId="0" fillId="0" borderId="2" xfId="0" applyNumberFormat="1" applyBorder="1"/>
    <xf numFmtId="164" fontId="4" fillId="2" borderId="2" xfId="1" applyFont="1" applyFill="1" applyBorder="1" applyAlignment="1">
      <alignment vertical="top" wrapText="1"/>
    </xf>
    <xf numFmtId="164" fontId="0" fillId="0" borderId="2" xfId="1" applyFont="1" applyBorder="1"/>
    <xf numFmtId="164" fontId="0" fillId="0" borderId="2" xfId="1" applyFont="1" applyBorder="1" applyAlignment="1"/>
    <xf numFmtId="164" fontId="0" fillId="0" borderId="0" xfId="1" applyFont="1"/>
    <xf numFmtId="1" fontId="6" fillId="0" borderId="0" xfId="0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>
      <selection activeCell="C13" sqref="C13"/>
    </sheetView>
  </sheetViews>
  <sheetFormatPr defaultRowHeight="15"/>
  <cols>
    <col min="1" max="1" width="11" bestFit="1" customWidth="1"/>
    <col min="2" max="2" width="11" style="8" customWidth="1"/>
    <col min="3" max="3" width="43.28515625" bestFit="1" customWidth="1"/>
    <col min="4" max="4" width="9.28515625" bestFit="1" customWidth="1"/>
    <col min="5" max="5" width="11.5703125" bestFit="1" customWidth="1"/>
    <col min="6" max="6" width="10.140625" bestFit="1" customWidth="1"/>
    <col min="7" max="11" width="9.28515625" bestFit="1" customWidth="1"/>
    <col min="12" max="13" width="10" style="23" bestFit="1" customWidth="1"/>
  </cols>
  <sheetData>
    <row r="1" spans="1:14" ht="30">
      <c r="A1" s="9" t="s">
        <v>0</v>
      </c>
      <c r="B1" s="10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5</v>
      </c>
      <c r="J1" s="11" t="s">
        <v>6</v>
      </c>
      <c r="K1" s="11" t="s">
        <v>8</v>
      </c>
      <c r="L1" s="20" t="s">
        <v>5</v>
      </c>
      <c r="M1" s="20" t="s">
        <v>6</v>
      </c>
    </row>
    <row r="2" spans="1:14">
      <c r="A2" s="12">
        <v>5129553810</v>
      </c>
      <c r="B2" s="13">
        <v>918</v>
      </c>
      <c r="C2" s="12" t="s">
        <v>9</v>
      </c>
      <c r="D2" s="12">
        <v>31</v>
      </c>
      <c r="E2" s="12">
        <v>20969</v>
      </c>
      <c r="F2" s="14">
        <f>E2*0.75/100</f>
        <v>157.26750000000001</v>
      </c>
      <c r="G2" s="14">
        <f>F2*3.25/100</f>
        <v>5.1111937500000009</v>
      </c>
      <c r="H2" s="12">
        <v>772</v>
      </c>
      <c r="I2" s="14">
        <f>H2*0.75/100</f>
        <v>5.79</v>
      </c>
      <c r="J2" s="14">
        <f>H2*3.25/100</f>
        <v>25.09</v>
      </c>
      <c r="K2" s="19">
        <f>E2+H2</f>
        <v>21741</v>
      </c>
      <c r="L2" s="21">
        <f>K2*0.75/100</f>
        <v>163.0575</v>
      </c>
      <c r="M2" s="21">
        <f>K2*3.25/100</f>
        <v>706.58249999999998</v>
      </c>
      <c r="N2">
        <v>21741</v>
      </c>
    </row>
    <row r="3" spans="1:14">
      <c r="A3" s="12">
        <v>5132668725</v>
      </c>
      <c r="B3" s="13">
        <v>1247</v>
      </c>
      <c r="C3" s="12" t="s">
        <v>10</v>
      </c>
      <c r="D3" s="12">
        <v>31</v>
      </c>
      <c r="E3" s="12">
        <v>20733</v>
      </c>
      <c r="F3" s="14">
        <f t="shared" ref="F3:F66" si="0">E3*0.75/100</f>
        <v>155.4975</v>
      </c>
      <c r="G3" s="14">
        <f t="shared" ref="G3:G66" si="1">F3*3.25/100</f>
        <v>5.0536687499999999</v>
      </c>
      <c r="H3" s="12">
        <v>764</v>
      </c>
      <c r="I3" s="14">
        <f t="shared" ref="I3:I66" si="2">H3*0.75/100</f>
        <v>5.73</v>
      </c>
      <c r="J3" s="14">
        <f t="shared" ref="J3:J66" si="3">H3*3.25/100</f>
        <v>24.83</v>
      </c>
      <c r="K3" s="12">
        <f t="shared" ref="K3:K66" si="4">E3+H3</f>
        <v>21497</v>
      </c>
      <c r="L3" s="21">
        <f t="shared" ref="L3:L66" si="5">K3*0.75/100</f>
        <v>161.22749999999999</v>
      </c>
      <c r="M3" s="21">
        <f t="shared" ref="M3:M66" si="6">K3*3.25/100</f>
        <v>698.65250000000003</v>
      </c>
      <c r="N3">
        <v>21497</v>
      </c>
    </row>
    <row r="4" spans="1:14">
      <c r="A4" s="12">
        <v>5133975964</v>
      </c>
      <c r="B4" s="13">
        <v>1485</v>
      </c>
      <c r="C4" s="12" t="s">
        <v>11</v>
      </c>
      <c r="D4" s="12">
        <v>27</v>
      </c>
      <c r="E4" s="12">
        <v>17970</v>
      </c>
      <c r="F4" s="14">
        <f t="shared" si="0"/>
        <v>134.77500000000001</v>
      </c>
      <c r="G4" s="14">
        <f t="shared" si="1"/>
        <v>4.3801874999999999</v>
      </c>
      <c r="H4" s="12">
        <v>742</v>
      </c>
      <c r="I4" s="14">
        <f t="shared" si="2"/>
        <v>5.5650000000000004</v>
      </c>
      <c r="J4" s="14">
        <f t="shared" si="3"/>
        <v>24.114999999999998</v>
      </c>
      <c r="K4" s="12">
        <f t="shared" si="4"/>
        <v>18712</v>
      </c>
      <c r="L4" s="21">
        <f t="shared" si="5"/>
        <v>140.34</v>
      </c>
      <c r="M4" s="21">
        <f t="shared" si="6"/>
        <v>608.14</v>
      </c>
      <c r="N4">
        <v>18712</v>
      </c>
    </row>
    <row r="5" spans="1:14">
      <c r="A5" s="12">
        <v>5134393353</v>
      </c>
      <c r="B5" s="13">
        <v>1561</v>
      </c>
      <c r="C5" s="12" t="s">
        <v>12</v>
      </c>
      <c r="D5" s="12">
        <v>31</v>
      </c>
      <c r="E5" s="12">
        <v>20262</v>
      </c>
      <c r="F5" s="14">
        <f t="shared" si="0"/>
        <v>151.965</v>
      </c>
      <c r="G5" s="14">
        <f t="shared" si="1"/>
        <v>4.9388624999999999</v>
      </c>
      <c r="H5" s="12">
        <v>683</v>
      </c>
      <c r="I5" s="14">
        <f t="shared" si="2"/>
        <v>5.1224999999999996</v>
      </c>
      <c r="J5" s="14">
        <f t="shared" si="3"/>
        <v>22.197500000000002</v>
      </c>
      <c r="K5" s="12">
        <f t="shared" si="4"/>
        <v>20945</v>
      </c>
      <c r="L5" s="21">
        <f t="shared" si="5"/>
        <v>157.08750000000001</v>
      </c>
      <c r="M5" s="21">
        <f t="shared" si="6"/>
        <v>680.71249999999998</v>
      </c>
      <c r="N5">
        <v>20945</v>
      </c>
    </row>
    <row r="6" spans="1:14">
      <c r="A6" s="12">
        <v>5134818062</v>
      </c>
      <c r="B6" s="13">
        <v>1677</v>
      </c>
      <c r="C6" s="12" t="s">
        <v>13</v>
      </c>
      <c r="D6" s="12">
        <v>31</v>
      </c>
      <c r="E6" s="12">
        <v>19948</v>
      </c>
      <c r="F6" s="14">
        <f t="shared" si="0"/>
        <v>149.61000000000001</v>
      </c>
      <c r="G6" s="14">
        <f t="shared" si="1"/>
        <v>4.8623250000000011</v>
      </c>
      <c r="H6" s="12">
        <v>673</v>
      </c>
      <c r="I6" s="14">
        <f t="shared" si="2"/>
        <v>5.0475000000000003</v>
      </c>
      <c r="J6" s="14">
        <f t="shared" si="3"/>
        <v>21.872499999999999</v>
      </c>
      <c r="K6" s="12">
        <f t="shared" si="4"/>
        <v>20621</v>
      </c>
      <c r="L6" s="21">
        <f t="shared" si="5"/>
        <v>154.6575</v>
      </c>
      <c r="M6" s="21">
        <f t="shared" si="6"/>
        <v>670.1825</v>
      </c>
      <c r="N6">
        <v>20621</v>
      </c>
    </row>
    <row r="7" spans="1:14">
      <c r="A7" s="12">
        <v>5134990891</v>
      </c>
      <c r="B7" s="13">
        <v>1702</v>
      </c>
      <c r="C7" s="12" t="s">
        <v>14</v>
      </c>
      <c r="D7" s="12">
        <v>26</v>
      </c>
      <c r="E7" s="12">
        <v>17442</v>
      </c>
      <c r="F7" s="14">
        <f t="shared" si="0"/>
        <v>130.815</v>
      </c>
      <c r="G7" s="14">
        <f t="shared" si="1"/>
        <v>4.2514874999999996</v>
      </c>
      <c r="H7" s="12">
        <v>780</v>
      </c>
      <c r="I7" s="14">
        <f t="shared" si="2"/>
        <v>5.85</v>
      </c>
      <c r="J7" s="14">
        <f t="shared" si="3"/>
        <v>25.35</v>
      </c>
      <c r="K7" s="12">
        <f t="shared" si="4"/>
        <v>18222</v>
      </c>
      <c r="L7" s="21">
        <f t="shared" si="5"/>
        <v>136.66499999999999</v>
      </c>
      <c r="M7" s="21">
        <f t="shared" si="6"/>
        <v>592.21500000000003</v>
      </c>
      <c r="N7">
        <v>18222</v>
      </c>
    </row>
    <row r="8" spans="1:14">
      <c r="A8" s="12">
        <v>5134990908</v>
      </c>
      <c r="B8" s="13">
        <v>1674</v>
      </c>
      <c r="C8" s="12" t="s">
        <v>15</v>
      </c>
      <c r="D8" s="12">
        <v>25</v>
      </c>
      <c r="E8" s="12">
        <v>16920</v>
      </c>
      <c r="F8" s="14">
        <f t="shared" si="0"/>
        <v>126.9</v>
      </c>
      <c r="G8" s="14">
        <f t="shared" si="1"/>
        <v>4.12425</v>
      </c>
      <c r="H8" s="12">
        <v>712</v>
      </c>
      <c r="I8" s="14">
        <f t="shared" si="2"/>
        <v>5.34</v>
      </c>
      <c r="J8" s="14">
        <f t="shared" si="3"/>
        <v>23.14</v>
      </c>
      <c r="K8" s="12">
        <f t="shared" si="4"/>
        <v>17632</v>
      </c>
      <c r="L8" s="21">
        <f t="shared" si="5"/>
        <v>132.24</v>
      </c>
      <c r="M8" s="21">
        <f t="shared" si="6"/>
        <v>573.04</v>
      </c>
      <c r="N8">
        <v>17632</v>
      </c>
    </row>
    <row r="9" spans="1:14">
      <c r="A9" s="12">
        <v>5135067750</v>
      </c>
      <c r="B9" s="13">
        <v>1734</v>
      </c>
      <c r="C9" s="12" t="s">
        <v>16</v>
      </c>
      <c r="D9" s="12">
        <v>31</v>
      </c>
      <c r="E9" s="12">
        <v>19488</v>
      </c>
      <c r="F9" s="14">
        <f t="shared" si="0"/>
        <v>146.16</v>
      </c>
      <c r="G9" s="14">
        <f t="shared" si="1"/>
        <v>4.7501999999999995</v>
      </c>
      <c r="H9" s="12">
        <v>657</v>
      </c>
      <c r="I9" s="14">
        <f t="shared" si="2"/>
        <v>4.9275000000000002</v>
      </c>
      <c r="J9" s="14">
        <f t="shared" si="3"/>
        <v>21.352499999999999</v>
      </c>
      <c r="K9" s="12">
        <f t="shared" si="4"/>
        <v>20145</v>
      </c>
      <c r="L9" s="21">
        <f t="shared" si="5"/>
        <v>151.08750000000001</v>
      </c>
      <c r="M9" s="21">
        <f t="shared" si="6"/>
        <v>654.71249999999998</v>
      </c>
      <c r="N9">
        <v>20145</v>
      </c>
    </row>
    <row r="10" spans="1:14">
      <c r="A10" s="12">
        <v>5135108200</v>
      </c>
      <c r="B10" s="13">
        <v>1753</v>
      </c>
      <c r="C10" s="12" t="s">
        <v>17</v>
      </c>
      <c r="D10" s="12">
        <v>31</v>
      </c>
      <c r="E10" s="12">
        <v>20391</v>
      </c>
      <c r="F10" s="14">
        <f t="shared" si="0"/>
        <v>152.9325</v>
      </c>
      <c r="G10" s="14">
        <f t="shared" si="1"/>
        <v>4.9703062500000001</v>
      </c>
      <c r="H10" s="12">
        <v>835</v>
      </c>
      <c r="I10" s="14">
        <f t="shared" si="2"/>
        <v>6.2625000000000002</v>
      </c>
      <c r="J10" s="14">
        <f t="shared" si="3"/>
        <v>27.137499999999999</v>
      </c>
      <c r="K10" s="12">
        <f t="shared" si="4"/>
        <v>21226</v>
      </c>
      <c r="L10" s="21">
        <f t="shared" si="5"/>
        <v>159.19499999999999</v>
      </c>
      <c r="M10" s="21">
        <f t="shared" si="6"/>
        <v>689.84500000000003</v>
      </c>
      <c r="N10">
        <v>21226</v>
      </c>
    </row>
    <row r="11" spans="1:14">
      <c r="A11" s="12">
        <v>5131024856</v>
      </c>
      <c r="B11" s="13">
        <v>1791</v>
      </c>
      <c r="C11" s="12" t="s">
        <v>18</v>
      </c>
      <c r="D11" s="12">
        <v>31</v>
      </c>
      <c r="E11" s="12">
        <v>19310</v>
      </c>
      <c r="F11" s="14">
        <f t="shared" si="0"/>
        <v>144.82499999999999</v>
      </c>
      <c r="G11" s="14">
        <f t="shared" si="1"/>
        <v>4.7068124999999998</v>
      </c>
      <c r="H11" s="12">
        <v>651</v>
      </c>
      <c r="I11" s="14">
        <f t="shared" si="2"/>
        <v>4.8825000000000003</v>
      </c>
      <c r="J11" s="14">
        <f t="shared" si="3"/>
        <v>21.157499999999999</v>
      </c>
      <c r="K11" s="12">
        <f t="shared" si="4"/>
        <v>19961</v>
      </c>
      <c r="L11" s="21">
        <f t="shared" si="5"/>
        <v>149.70750000000001</v>
      </c>
      <c r="M11" s="21">
        <f t="shared" si="6"/>
        <v>648.73249999999996</v>
      </c>
      <c r="N11">
        <v>19961</v>
      </c>
    </row>
    <row r="12" spans="1:14">
      <c r="A12" s="12">
        <v>5131380561</v>
      </c>
      <c r="B12" s="13">
        <v>1780</v>
      </c>
      <c r="C12" s="12" t="s">
        <v>19</v>
      </c>
      <c r="D12" s="12">
        <v>24</v>
      </c>
      <c r="E12" s="12">
        <v>15500</v>
      </c>
      <c r="F12" s="14">
        <f t="shared" si="0"/>
        <v>116.25</v>
      </c>
      <c r="G12" s="14">
        <f t="shared" si="1"/>
        <v>3.7781250000000002</v>
      </c>
      <c r="H12" s="12">
        <v>523</v>
      </c>
      <c r="I12" s="14">
        <f t="shared" si="2"/>
        <v>3.9224999999999999</v>
      </c>
      <c r="J12" s="14">
        <f t="shared" si="3"/>
        <v>16.997499999999999</v>
      </c>
      <c r="K12" s="12">
        <f t="shared" si="4"/>
        <v>16023</v>
      </c>
      <c r="L12" s="21">
        <f t="shared" si="5"/>
        <v>120.1725</v>
      </c>
      <c r="M12" s="21">
        <f t="shared" si="6"/>
        <v>520.74749999999995</v>
      </c>
      <c r="N12">
        <v>16023</v>
      </c>
    </row>
    <row r="13" spans="1:14">
      <c r="A13" s="12">
        <v>5131024835</v>
      </c>
      <c r="B13" s="13">
        <v>1786</v>
      </c>
      <c r="C13" s="12" t="s">
        <v>20</v>
      </c>
      <c r="D13" s="12">
        <v>31</v>
      </c>
      <c r="E13" s="12">
        <v>20712</v>
      </c>
      <c r="F13" s="14">
        <f t="shared" si="0"/>
        <v>155.34</v>
      </c>
      <c r="G13" s="14">
        <f t="shared" si="1"/>
        <v>5.0485500000000005</v>
      </c>
      <c r="H13" s="12">
        <v>849</v>
      </c>
      <c r="I13" s="14">
        <f t="shared" si="2"/>
        <v>6.3674999999999997</v>
      </c>
      <c r="J13" s="14">
        <f t="shared" si="3"/>
        <v>27.592500000000001</v>
      </c>
      <c r="K13" s="12">
        <f t="shared" si="4"/>
        <v>21561</v>
      </c>
      <c r="L13" s="21">
        <f t="shared" si="5"/>
        <v>161.70750000000001</v>
      </c>
      <c r="M13" s="21">
        <f t="shared" si="6"/>
        <v>700.73249999999996</v>
      </c>
      <c r="N13">
        <v>21561</v>
      </c>
    </row>
    <row r="14" spans="1:14">
      <c r="A14" s="12">
        <v>5135414354</v>
      </c>
      <c r="B14" s="13">
        <v>1820</v>
      </c>
      <c r="C14" s="12" t="s">
        <v>21</v>
      </c>
      <c r="D14" s="12">
        <v>31</v>
      </c>
      <c r="E14" s="12">
        <v>17631</v>
      </c>
      <c r="F14" s="14">
        <f t="shared" si="0"/>
        <v>132.23249999999999</v>
      </c>
      <c r="G14" s="14">
        <f t="shared" si="1"/>
        <v>4.2975562499999995</v>
      </c>
      <c r="H14" s="12">
        <v>595</v>
      </c>
      <c r="I14" s="14">
        <f t="shared" si="2"/>
        <v>4.4625000000000004</v>
      </c>
      <c r="J14" s="14">
        <f t="shared" si="3"/>
        <v>19.337499999999999</v>
      </c>
      <c r="K14" s="12">
        <f t="shared" si="4"/>
        <v>18226</v>
      </c>
      <c r="L14" s="21">
        <f t="shared" si="5"/>
        <v>136.69499999999999</v>
      </c>
      <c r="M14" s="21">
        <f t="shared" si="6"/>
        <v>592.34500000000003</v>
      </c>
      <c r="N14">
        <v>18226</v>
      </c>
    </row>
    <row r="15" spans="1:14">
      <c r="A15" s="12">
        <v>6382493369</v>
      </c>
      <c r="B15" s="13">
        <v>1855</v>
      </c>
      <c r="C15" s="12" t="s">
        <v>22</v>
      </c>
      <c r="D15" s="12">
        <v>31</v>
      </c>
      <c r="E15" s="12">
        <v>18806</v>
      </c>
      <c r="F15" s="14">
        <f t="shared" si="0"/>
        <v>141.04499999999999</v>
      </c>
      <c r="G15" s="14">
        <f t="shared" si="1"/>
        <v>4.5839624999999993</v>
      </c>
      <c r="H15" s="12">
        <v>634</v>
      </c>
      <c r="I15" s="14">
        <f t="shared" si="2"/>
        <v>4.7549999999999999</v>
      </c>
      <c r="J15" s="14">
        <f t="shared" si="3"/>
        <v>20.605</v>
      </c>
      <c r="K15" s="12">
        <f t="shared" si="4"/>
        <v>19440</v>
      </c>
      <c r="L15" s="21">
        <f t="shared" si="5"/>
        <v>145.80000000000001</v>
      </c>
      <c r="M15" s="21">
        <f t="shared" si="6"/>
        <v>631.79999999999995</v>
      </c>
      <c r="N15">
        <v>19440</v>
      </c>
    </row>
    <row r="16" spans="1:14">
      <c r="A16" s="12">
        <v>5134645127</v>
      </c>
      <c r="B16" s="13">
        <v>1858</v>
      </c>
      <c r="C16" s="12" t="s">
        <v>23</v>
      </c>
      <c r="D16" s="12">
        <v>31</v>
      </c>
      <c r="E16" s="12">
        <v>19643</v>
      </c>
      <c r="F16" s="14">
        <f t="shared" si="0"/>
        <v>147.32249999999999</v>
      </c>
      <c r="G16" s="14">
        <f t="shared" si="1"/>
        <v>4.7879812499999996</v>
      </c>
      <c r="H16" s="12">
        <v>781</v>
      </c>
      <c r="I16" s="14">
        <f t="shared" si="2"/>
        <v>5.8574999999999999</v>
      </c>
      <c r="J16" s="14">
        <f t="shared" si="3"/>
        <v>25.3825</v>
      </c>
      <c r="K16" s="12">
        <f t="shared" si="4"/>
        <v>20424</v>
      </c>
      <c r="L16" s="21">
        <f t="shared" si="5"/>
        <v>153.18</v>
      </c>
      <c r="M16" s="21">
        <f t="shared" si="6"/>
        <v>663.78</v>
      </c>
      <c r="N16">
        <v>20424</v>
      </c>
    </row>
    <row r="17" spans="1:14">
      <c r="A17" s="12">
        <v>5135658011</v>
      </c>
      <c r="B17" s="13">
        <v>1892</v>
      </c>
      <c r="C17" s="12" t="s">
        <v>24</v>
      </c>
      <c r="D17" s="12">
        <v>30</v>
      </c>
      <c r="E17" s="12">
        <v>18505</v>
      </c>
      <c r="F17" s="14">
        <f t="shared" si="0"/>
        <v>138.78749999999999</v>
      </c>
      <c r="G17" s="14">
        <f t="shared" si="1"/>
        <v>4.51059375</v>
      </c>
      <c r="H17" s="12">
        <v>828</v>
      </c>
      <c r="I17" s="14">
        <f t="shared" si="2"/>
        <v>6.21</v>
      </c>
      <c r="J17" s="14">
        <f t="shared" si="3"/>
        <v>26.91</v>
      </c>
      <c r="K17" s="12">
        <f t="shared" si="4"/>
        <v>19333</v>
      </c>
      <c r="L17" s="21">
        <f t="shared" si="5"/>
        <v>144.9975</v>
      </c>
      <c r="M17" s="21">
        <f t="shared" si="6"/>
        <v>628.32249999999999</v>
      </c>
      <c r="N17">
        <v>19333</v>
      </c>
    </row>
    <row r="18" spans="1:14">
      <c r="A18" s="12">
        <v>5131685828</v>
      </c>
      <c r="B18" s="13">
        <v>1865</v>
      </c>
      <c r="C18" s="12" t="s">
        <v>25</v>
      </c>
      <c r="D18" s="12">
        <v>31</v>
      </c>
      <c r="E18" s="12">
        <v>19640</v>
      </c>
      <c r="F18" s="14">
        <f t="shared" si="0"/>
        <v>147.30000000000001</v>
      </c>
      <c r="G18" s="14">
        <f t="shared" si="1"/>
        <v>4.7872500000000002</v>
      </c>
      <c r="H18" s="12">
        <v>934</v>
      </c>
      <c r="I18" s="14">
        <f t="shared" si="2"/>
        <v>7.0049999999999999</v>
      </c>
      <c r="J18" s="14">
        <f t="shared" si="3"/>
        <v>30.355</v>
      </c>
      <c r="K18" s="12">
        <f t="shared" si="4"/>
        <v>20574</v>
      </c>
      <c r="L18" s="21">
        <f t="shared" si="5"/>
        <v>154.30500000000001</v>
      </c>
      <c r="M18" s="21">
        <f t="shared" si="6"/>
        <v>668.65499999999997</v>
      </c>
      <c r="N18">
        <v>20574</v>
      </c>
    </row>
    <row r="19" spans="1:14">
      <c r="A19" s="12">
        <v>5135676825</v>
      </c>
      <c r="B19" s="13">
        <v>1925</v>
      </c>
      <c r="C19" s="12" t="s">
        <v>26</v>
      </c>
      <c r="D19" s="12">
        <v>24</v>
      </c>
      <c r="E19" s="12">
        <v>15603</v>
      </c>
      <c r="F19" s="14">
        <f t="shared" si="0"/>
        <v>117.02249999999999</v>
      </c>
      <c r="G19" s="14">
        <f t="shared" si="1"/>
        <v>3.8032312500000001</v>
      </c>
      <c r="H19" s="12">
        <v>698</v>
      </c>
      <c r="I19" s="14">
        <f t="shared" si="2"/>
        <v>5.2350000000000003</v>
      </c>
      <c r="J19" s="14">
        <f t="shared" si="3"/>
        <v>22.684999999999999</v>
      </c>
      <c r="K19" s="12">
        <f t="shared" si="4"/>
        <v>16301</v>
      </c>
      <c r="L19" s="21">
        <f t="shared" si="5"/>
        <v>122.25749999999999</v>
      </c>
      <c r="M19" s="21">
        <f t="shared" si="6"/>
        <v>529.78250000000003</v>
      </c>
      <c r="N19">
        <v>16301</v>
      </c>
    </row>
    <row r="20" spans="1:14">
      <c r="A20" s="12">
        <v>5135768062</v>
      </c>
      <c r="B20" s="13">
        <v>1938</v>
      </c>
      <c r="C20" s="12" t="s">
        <v>27</v>
      </c>
      <c r="D20" s="12">
        <v>30</v>
      </c>
      <c r="E20" s="12">
        <v>19706</v>
      </c>
      <c r="F20" s="14">
        <f t="shared" si="0"/>
        <v>147.79499999999999</v>
      </c>
      <c r="G20" s="14">
        <f t="shared" si="1"/>
        <v>4.8033374999999996</v>
      </c>
      <c r="H20" s="12">
        <v>801</v>
      </c>
      <c r="I20" s="14">
        <f t="shared" si="2"/>
        <v>6.0075000000000003</v>
      </c>
      <c r="J20" s="14">
        <f t="shared" si="3"/>
        <v>26.032499999999999</v>
      </c>
      <c r="K20" s="12">
        <f t="shared" si="4"/>
        <v>20507</v>
      </c>
      <c r="L20" s="21">
        <f t="shared" si="5"/>
        <v>153.80250000000001</v>
      </c>
      <c r="M20" s="21">
        <f t="shared" si="6"/>
        <v>666.47749999999996</v>
      </c>
      <c r="N20">
        <v>20507</v>
      </c>
    </row>
    <row r="21" spans="1:14">
      <c r="A21" s="12">
        <v>6382699189</v>
      </c>
      <c r="B21" s="13">
        <v>1955</v>
      </c>
      <c r="C21" s="12" t="s">
        <v>28</v>
      </c>
      <c r="D21" s="12">
        <v>31</v>
      </c>
      <c r="E21" s="12">
        <v>20827</v>
      </c>
      <c r="F21" s="14">
        <f t="shared" si="0"/>
        <v>156.20249999999999</v>
      </c>
      <c r="G21" s="14">
        <f t="shared" si="1"/>
        <v>5.0765812499999994</v>
      </c>
      <c r="H21" s="12">
        <v>792</v>
      </c>
      <c r="I21" s="14">
        <f t="shared" si="2"/>
        <v>5.94</v>
      </c>
      <c r="J21" s="14">
        <f t="shared" si="3"/>
        <v>25.74</v>
      </c>
      <c r="K21" s="12">
        <f t="shared" si="4"/>
        <v>21619</v>
      </c>
      <c r="L21" s="21">
        <f t="shared" si="5"/>
        <v>162.14250000000001</v>
      </c>
      <c r="M21" s="21">
        <f t="shared" si="6"/>
        <v>702.61749999999995</v>
      </c>
      <c r="N21">
        <v>21619</v>
      </c>
    </row>
    <row r="22" spans="1:14">
      <c r="A22" s="12">
        <v>5135996498</v>
      </c>
      <c r="B22" s="13">
        <v>1995</v>
      </c>
      <c r="C22" s="12" t="s">
        <v>29</v>
      </c>
      <c r="D22" s="12">
        <v>26</v>
      </c>
      <c r="E22" s="12">
        <v>15794</v>
      </c>
      <c r="F22" s="14">
        <f t="shared" si="0"/>
        <v>118.455</v>
      </c>
      <c r="G22" s="14">
        <f t="shared" si="1"/>
        <v>3.8497874999999997</v>
      </c>
      <c r="H22" s="12">
        <v>623</v>
      </c>
      <c r="I22" s="14">
        <f t="shared" si="2"/>
        <v>4.6725000000000003</v>
      </c>
      <c r="J22" s="14">
        <f t="shared" si="3"/>
        <v>20.247499999999999</v>
      </c>
      <c r="K22" s="12">
        <f t="shared" si="4"/>
        <v>16417</v>
      </c>
      <c r="L22" s="21">
        <f t="shared" si="5"/>
        <v>123.1275</v>
      </c>
      <c r="M22" s="21">
        <f t="shared" si="6"/>
        <v>533.55250000000001</v>
      </c>
      <c r="N22">
        <v>16417</v>
      </c>
    </row>
    <row r="23" spans="1:14">
      <c r="A23" s="12">
        <v>5136026445</v>
      </c>
      <c r="B23" s="13">
        <v>2034</v>
      </c>
      <c r="C23" s="12" t="s">
        <v>30</v>
      </c>
      <c r="D23" s="12">
        <v>30</v>
      </c>
      <c r="E23" s="12">
        <v>20181</v>
      </c>
      <c r="F23" s="14">
        <f t="shared" si="0"/>
        <v>151.35749999999999</v>
      </c>
      <c r="G23" s="14">
        <f t="shared" si="1"/>
        <v>4.9191187499999991</v>
      </c>
      <c r="H23" s="12">
        <v>850</v>
      </c>
      <c r="I23" s="14">
        <f t="shared" si="2"/>
        <v>6.375</v>
      </c>
      <c r="J23" s="14">
        <f t="shared" si="3"/>
        <v>27.625</v>
      </c>
      <c r="K23" s="12">
        <f t="shared" si="4"/>
        <v>21031</v>
      </c>
      <c r="L23" s="21">
        <f t="shared" si="5"/>
        <v>157.73249999999999</v>
      </c>
      <c r="M23" s="21">
        <f t="shared" si="6"/>
        <v>683.50750000000005</v>
      </c>
      <c r="N23">
        <v>21031</v>
      </c>
    </row>
    <row r="24" spans="1:14">
      <c r="A24" s="12">
        <v>5134628289</v>
      </c>
      <c r="B24" s="13">
        <v>2038</v>
      </c>
      <c r="C24" s="12" t="s">
        <v>31</v>
      </c>
      <c r="D24" s="12">
        <v>22</v>
      </c>
      <c r="E24" s="12">
        <v>13350</v>
      </c>
      <c r="F24" s="14">
        <f t="shared" si="0"/>
        <v>100.125</v>
      </c>
      <c r="G24" s="14">
        <f t="shared" si="1"/>
        <v>3.2540624999999999</v>
      </c>
      <c r="H24" s="12">
        <v>597</v>
      </c>
      <c r="I24" s="14">
        <f t="shared" si="2"/>
        <v>4.4775</v>
      </c>
      <c r="J24" s="14">
        <f t="shared" si="3"/>
        <v>19.4025</v>
      </c>
      <c r="K24" s="12">
        <f t="shared" si="4"/>
        <v>13947</v>
      </c>
      <c r="L24" s="21">
        <f t="shared" si="5"/>
        <v>104.60250000000001</v>
      </c>
      <c r="M24" s="21">
        <f t="shared" si="6"/>
        <v>453.27749999999997</v>
      </c>
      <c r="N24">
        <v>13947</v>
      </c>
    </row>
    <row r="25" spans="1:14">
      <c r="A25" s="12">
        <v>5135809393</v>
      </c>
      <c r="B25" s="13">
        <v>2053</v>
      </c>
      <c r="C25" s="12" t="s">
        <v>32</v>
      </c>
      <c r="D25" s="12">
        <v>30</v>
      </c>
      <c r="E25" s="12">
        <v>19222</v>
      </c>
      <c r="F25" s="14">
        <f t="shared" si="0"/>
        <v>144.16499999999999</v>
      </c>
      <c r="G25" s="14">
        <f t="shared" si="1"/>
        <v>4.6853625000000001</v>
      </c>
      <c r="H25" s="12">
        <v>784</v>
      </c>
      <c r="I25" s="14">
        <f t="shared" si="2"/>
        <v>5.88</v>
      </c>
      <c r="J25" s="14">
        <f t="shared" si="3"/>
        <v>25.48</v>
      </c>
      <c r="K25" s="12">
        <f t="shared" si="4"/>
        <v>20006</v>
      </c>
      <c r="L25" s="21">
        <f t="shared" si="5"/>
        <v>150.04499999999999</v>
      </c>
      <c r="M25" s="21">
        <f t="shared" si="6"/>
        <v>650.19500000000005</v>
      </c>
      <c r="N25">
        <v>20006</v>
      </c>
    </row>
    <row r="26" spans="1:14">
      <c r="A26" s="12">
        <v>5136139551</v>
      </c>
      <c r="B26" s="13">
        <v>2056</v>
      </c>
      <c r="C26" s="12" t="s">
        <v>33</v>
      </c>
      <c r="D26" s="12">
        <v>31</v>
      </c>
      <c r="E26" s="12">
        <v>20325</v>
      </c>
      <c r="F26" s="14">
        <f t="shared" si="0"/>
        <v>152.4375</v>
      </c>
      <c r="G26" s="14">
        <f t="shared" si="1"/>
        <v>4.9542187499999999</v>
      </c>
      <c r="H26" s="12">
        <v>984</v>
      </c>
      <c r="I26" s="14">
        <f t="shared" si="2"/>
        <v>7.38</v>
      </c>
      <c r="J26" s="14">
        <f t="shared" si="3"/>
        <v>31.98</v>
      </c>
      <c r="K26" s="12">
        <f t="shared" si="4"/>
        <v>21309</v>
      </c>
      <c r="L26" s="21">
        <f t="shared" si="5"/>
        <v>159.8175</v>
      </c>
      <c r="M26" s="21">
        <f t="shared" si="6"/>
        <v>692.54250000000002</v>
      </c>
      <c r="N26">
        <v>21309</v>
      </c>
    </row>
    <row r="27" spans="1:14">
      <c r="A27" s="12">
        <v>5136165018</v>
      </c>
      <c r="B27" s="13">
        <v>2075</v>
      </c>
      <c r="C27" s="12" t="s">
        <v>34</v>
      </c>
      <c r="D27" s="12">
        <v>29</v>
      </c>
      <c r="E27" s="12">
        <v>19468</v>
      </c>
      <c r="F27" s="14">
        <f t="shared" si="0"/>
        <v>146.01</v>
      </c>
      <c r="G27" s="14">
        <f t="shared" si="1"/>
        <v>4.7453249999999993</v>
      </c>
      <c r="H27" s="12">
        <v>871</v>
      </c>
      <c r="I27" s="14">
        <f t="shared" si="2"/>
        <v>6.5324999999999998</v>
      </c>
      <c r="J27" s="14">
        <f t="shared" si="3"/>
        <v>28.307500000000001</v>
      </c>
      <c r="K27" s="12">
        <f t="shared" si="4"/>
        <v>20339</v>
      </c>
      <c r="L27" s="21">
        <f t="shared" si="5"/>
        <v>152.54249999999999</v>
      </c>
      <c r="M27" s="21">
        <f t="shared" si="6"/>
        <v>661.01750000000004</v>
      </c>
      <c r="N27">
        <v>20339</v>
      </c>
    </row>
    <row r="28" spans="1:14">
      <c r="A28" s="12">
        <v>5136244497</v>
      </c>
      <c r="B28" s="13">
        <v>2088</v>
      </c>
      <c r="C28" s="12" t="s">
        <v>35</v>
      </c>
      <c r="D28" s="12">
        <v>31</v>
      </c>
      <c r="E28" s="12">
        <v>19836</v>
      </c>
      <c r="F28" s="14">
        <f t="shared" si="0"/>
        <v>148.77000000000001</v>
      </c>
      <c r="G28" s="14">
        <f t="shared" si="1"/>
        <v>4.8350250000000008</v>
      </c>
      <c r="H28" s="12">
        <v>754</v>
      </c>
      <c r="I28" s="14">
        <f t="shared" si="2"/>
        <v>5.6550000000000002</v>
      </c>
      <c r="J28" s="14">
        <f t="shared" si="3"/>
        <v>24.504999999999999</v>
      </c>
      <c r="K28" s="12">
        <f t="shared" si="4"/>
        <v>20590</v>
      </c>
      <c r="L28" s="21">
        <f t="shared" si="5"/>
        <v>154.42500000000001</v>
      </c>
      <c r="M28" s="21">
        <f t="shared" si="6"/>
        <v>669.17499999999995</v>
      </c>
      <c r="N28">
        <v>20590</v>
      </c>
    </row>
    <row r="29" spans="1:14">
      <c r="A29" s="12">
        <v>5131552282</v>
      </c>
      <c r="B29" s="13">
        <v>2094</v>
      </c>
      <c r="C29" s="12" t="s">
        <v>36</v>
      </c>
      <c r="D29" s="12">
        <v>21</v>
      </c>
      <c r="E29" s="12">
        <v>12948</v>
      </c>
      <c r="F29" s="14">
        <f t="shared" si="0"/>
        <v>97.11</v>
      </c>
      <c r="G29" s="14">
        <f t="shared" si="1"/>
        <v>3.156075</v>
      </c>
      <c r="H29" s="12">
        <v>528</v>
      </c>
      <c r="I29" s="14">
        <f t="shared" si="2"/>
        <v>3.96</v>
      </c>
      <c r="J29" s="14">
        <f t="shared" si="3"/>
        <v>17.16</v>
      </c>
      <c r="K29" s="12">
        <f t="shared" si="4"/>
        <v>13476</v>
      </c>
      <c r="L29" s="21">
        <f t="shared" si="5"/>
        <v>101.07</v>
      </c>
      <c r="M29" s="21">
        <f t="shared" si="6"/>
        <v>437.97</v>
      </c>
      <c r="N29">
        <v>13476</v>
      </c>
    </row>
    <row r="30" spans="1:14">
      <c r="A30" s="12">
        <v>5127502401</v>
      </c>
      <c r="B30" s="13">
        <v>2106</v>
      </c>
      <c r="C30" s="12" t="s">
        <v>37</v>
      </c>
      <c r="D30" s="12">
        <v>31</v>
      </c>
      <c r="E30" s="12">
        <v>19871</v>
      </c>
      <c r="F30" s="14">
        <f t="shared" si="0"/>
        <v>149.0325</v>
      </c>
      <c r="G30" s="14">
        <f t="shared" si="1"/>
        <v>4.8435562499999998</v>
      </c>
      <c r="H30" s="12">
        <v>808</v>
      </c>
      <c r="I30" s="14">
        <f t="shared" si="2"/>
        <v>6.06</v>
      </c>
      <c r="J30" s="14">
        <f t="shared" si="3"/>
        <v>26.26</v>
      </c>
      <c r="K30" s="12">
        <f t="shared" si="4"/>
        <v>20679</v>
      </c>
      <c r="L30" s="21">
        <f t="shared" si="5"/>
        <v>155.0925</v>
      </c>
      <c r="M30" s="21">
        <f t="shared" si="6"/>
        <v>672.0675</v>
      </c>
      <c r="N30">
        <v>20679</v>
      </c>
    </row>
    <row r="31" spans="1:14">
      <c r="A31" s="12">
        <v>5136849788</v>
      </c>
      <c r="B31" s="13">
        <v>2166</v>
      </c>
      <c r="C31" s="12" t="s">
        <v>38</v>
      </c>
      <c r="D31" s="12">
        <v>28</v>
      </c>
      <c r="E31" s="12">
        <v>18073</v>
      </c>
      <c r="F31" s="14">
        <f t="shared" si="0"/>
        <v>135.54750000000001</v>
      </c>
      <c r="G31" s="14">
        <f t="shared" si="1"/>
        <v>4.4052937500000011</v>
      </c>
      <c r="H31" s="12">
        <v>769</v>
      </c>
      <c r="I31" s="14">
        <f t="shared" si="2"/>
        <v>5.7675000000000001</v>
      </c>
      <c r="J31" s="14">
        <f t="shared" si="3"/>
        <v>24.9925</v>
      </c>
      <c r="K31" s="12">
        <f t="shared" si="4"/>
        <v>18842</v>
      </c>
      <c r="L31" s="21">
        <f t="shared" si="5"/>
        <v>141.315</v>
      </c>
      <c r="M31" s="21">
        <f t="shared" si="6"/>
        <v>612.36500000000001</v>
      </c>
      <c r="N31">
        <v>18842</v>
      </c>
    </row>
    <row r="32" spans="1:14">
      <c r="A32" s="12">
        <v>5136919972</v>
      </c>
      <c r="B32" s="13">
        <v>2179</v>
      </c>
      <c r="C32" s="12" t="s">
        <v>39</v>
      </c>
      <c r="D32" s="12">
        <v>28</v>
      </c>
      <c r="E32" s="12">
        <v>18246</v>
      </c>
      <c r="F32" s="14">
        <f t="shared" si="0"/>
        <v>136.845</v>
      </c>
      <c r="G32" s="14">
        <f t="shared" si="1"/>
        <v>4.4474624999999994</v>
      </c>
      <c r="H32" s="12">
        <v>706</v>
      </c>
      <c r="I32" s="14">
        <f t="shared" si="2"/>
        <v>5.2949999999999999</v>
      </c>
      <c r="J32" s="14">
        <f t="shared" si="3"/>
        <v>22.945</v>
      </c>
      <c r="K32" s="12">
        <f t="shared" si="4"/>
        <v>18952</v>
      </c>
      <c r="L32" s="21">
        <f t="shared" si="5"/>
        <v>142.13999999999999</v>
      </c>
      <c r="M32" s="21">
        <f t="shared" si="6"/>
        <v>615.94000000000005</v>
      </c>
      <c r="N32">
        <v>18952</v>
      </c>
    </row>
    <row r="33" spans="1:14">
      <c r="A33" s="12">
        <v>5136920022</v>
      </c>
      <c r="B33" s="13">
        <v>2171</v>
      </c>
      <c r="C33" s="12" t="s">
        <v>40</v>
      </c>
      <c r="D33" s="12">
        <v>31</v>
      </c>
      <c r="E33" s="12">
        <v>19400</v>
      </c>
      <c r="F33" s="14">
        <f t="shared" si="0"/>
        <v>145.5</v>
      </c>
      <c r="G33" s="14">
        <f t="shared" si="1"/>
        <v>4.7287499999999998</v>
      </c>
      <c r="H33" s="12">
        <v>636</v>
      </c>
      <c r="I33" s="14">
        <f t="shared" si="2"/>
        <v>4.7699999999999996</v>
      </c>
      <c r="J33" s="14">
        <f t="shared" si="3"/>
        <v>20.67</v>
      </c>
      <c r="K33" s="12">
        <f t="shared" si="4"/>
        <v>20036</v>
      </c>
      <c r="L33" s="21">
        <f t="shared" si="5"/>
        <v>150.27000000000001</v>
      </c>
      <c r="M33" s="21">
        <f t="shared" si="6"/>
        <v>651.16999999999996</v>
      </c>
      <c r="N33">
        <v>20036</v>
      </c>
    </row>
    <row r="34" spans="1:14">
      <c r="A34" s="12">
        <v>5133995652</v>
      </c>
      <c r="B34" s="13">
        <v>2205</v>
      </c>
      <c r="C34" s="12" t="s">
        <v>41</v>
      </c>
      <c r="D34" s="12">
        <v>31</v>
      </c>
      <c r="E34" s="12">
        <v>17000</v>
      </c>
      <c r="F34" s="14">
        <f t="shared" si="0"/>
        <v>127.5</v>
      </c>
      <c r="G34" s="14">
        <f t="shared" si="1"/>
        <v>4.1437499999999998</v>
      </c>
      <c r="H34" s="12">
        <v>614</v>
      </c>
      <c r="I34" s="14">
        <f t="shared" si="2"/>
        <v>4.6050000000000004</v>
      </c>
      <c r="J34" s="14">
        <f t="shared" si="3"/>
        <v>19.954999999999998</v>
      </c>
      <c r="K34" s="12">
        <f t="shared" si="4"/>
        <v>17614</v>
      </c>
      <c r="L34" s="21">
        <f t="shared" si="5"/>
        <v>132.10499999999999</v>
      </c>
      <c r="M34" s="21">
        <f t="shared" si="6"/>
        <v>572.45500000000004</v>
      </c>
      <c r="N34">
        <v>17614</v>
      </c>
    </row>
    <row r="35" spans="1:14">
      <c r="A35" s="12">
        <v>5137114792</v>
      </c>
      <c r="B35" s="13">
        <v>2244</v>
      </c>
      <c r="C35" s="12" t="s">
        <v>42</v>
      </c>
      <c r="D35" s="12">
        <v>31</v>
      </c>
      <c r="E35" s="12">
        <v>19652</v>
      </c>
      <c r="F35" s="14">
        <f t="shared" si="0"/>
        <v>147.38999999999999</v>
      </c>
      <c r="G35" s="14">
        <f t="shared" si="1"/>
        <v>4.7901749999999996</v>
      </c>
      <c r="H35" s="12">
        <v>661</v>
      </c>
      <c r="I35" s="14">
        <f t="shared" si="2"/>
        <v>4.9574999999999996</v>
      </c>
      <c r="J35" s="14">
        <f t="shared" si="3"/>
        <v>21.482500000000002</v>
      </c>
      <c r="K35" s="12">
        <f t="shared" si="4"/>
        <v>20313</v>
      </c>
      <c r="L35" s="21">
        <f t="shared" si="5"/>
        <v>152.3475</v>
      </c>
      <c r="M35" s="21">
        <f t="shared" si="6"/>
        <v>660.17250000000001</v>
      </c>
      <c r="N35">
        <v>20313</v>
      </c>
    </row>
    <row r="36" spans="1:14">
      <c r="A36" s="12">
        <v>5137159406</v>
      </c>
      <c r="B36" s="13">
        <v>2249</v>
      </c>
      <c r="C36" s="12" t="s">
        <v>43</v>
      </c>
      <c r="D36" s="12">
        <v>31</v>
      </c>
      <c r="E36" s="12">
        <v>16000</v>
      </c>
      <c r="F36" s="14">
        <f t="shared" si="0"/>
        <v>120</v>
      </c>
      <c r="G36" s="14">
        <f t="shared" si="1"/>
        <v>3.9</v>
      </c>
      <c r="H36" s="12">
        <v>680</v>
      </c>
      <c r="I36" s="14">
        <f t="shared" si="2"/>
        <v>5.0999999999999996</v>
      </c>
      <c r="J36" s="14">
        <f t="shared" si="3"/>
        <v>22.1</v>
      </c>
      <c r="K36" s="12">
        <f t="shared" si="4"/>
        <v>16680</v>
      </c>
      <c r="L36" s="21">
        <f t="shared" si="5"/>
        <v>125.1</v>
      </c>
      <c r="M36" s="21">
        <f t="shared" si="6"/>
        <v>542.1</v>
      </c>
      <c r="N36">
        <v>16680</v>
      </c>
    </row>
    <row r="37" spans="1:14">
      <c r="A37" s="12">
        <v>5137159518</v>
      </c>
      <c r="B37" s="13">
        <v>2250</v>
      </c>
      <c r="C37" s="12" t="s">
        <v>44</v>
      </c>
      <c r="D37" s="12">
        <v>22</v>
      </c>
      <c r="E37" s="12">
        <v>11355</v>
      </c>
      <c r="F37" s="14">
        <f t="shared" si="0"/>
        <v>85.162499999999994</v>
      </c>
      <c r="G37" s="14">
        <f t="shared" si="1"/>
        <v>2.7677812500000001</v>
      </c>
      <c r="H37" s="12">
        <v>426</v>
      </c>
      <c r="I37" s="14">
        <f t="shared" si="2"/>
        <v>3.1949999999999998</v>
      </c>
      <c r="J37" s="14">
        <f t="shared" si="3"/>
        <v>13.845000000000001</v>
      </c>
      <c r="K37" s="12">
        <f t="shared" si="4"/>
        <v>11781</v>
      </c>
      <c r="L37" s="21">
        <f t="shared" si="5"/>
        <v>88.357500000000002</v>
      </c>
      <c r="M37" s="21">
        <f t="shared" si="6"/>
        <v>382.88249999999999</v>
      </c>
      <c r="N37">
        <v>11781</v>
      </c>
    </row>
    <row r="38" spans="1:14">
      <c r="A38" s="12">
        <v>5128867613</v>
      </c>
      <c r="B38" s="13">
        <v>2261</v>
      </c>
      <c r="C38" s="12" t="s">
        <v>45</v>
      </c>
      <c r="D38" s="12">
        <v>26</v>
      </c>
      <c r="E38" s="12">
        <v>17361</v>
      </c>
      <c r="F38" s="14">
        <f t="shared" si="0"/>
        <v>130.20750000000001</v>
      </c>
      <c r="G38" s="14">
        <f t="shared" si="1"/>
        <v>4.2317437500000006</v>
      </c>
      <c r="H38" s="12">
        <v>673</v>
      </c>
      <c r="I38" s="14">
        <f t="shared" si="2"/>
        <v>5.0475000000000003</v>
      </c>
      <c r="J38" s="14">
        <f t="shared" si="3"/>
        <v>21.872499999999999</v>
      </c>
      <c r="K38" s="12">
        <f t="shared" si="4"/>
        <v>18034</v>
      </c>
      <c r="L38" s="21">
        <f t="shared" si="5"/>
        <v>135.255</v>
      </c>
      <c r="M38" s="21">
        <f t="shared" si="6"/>
        <v>586.10500000000002</v>
      </c>
      <c r="N38">
        <v>18034</v>
      </c>
    </row>
    <row r="39" spans="1:14">
      <c r="A39" s="12">
        <v>5137172676</v>
      </c>
      <c r="B39" s="13">
        <v>2269</v>
      </c>
      <c r="C39" s="12" t="s">
        <v>46</v>
      </c>
      <c r="D39" s="12">
        <v>31</v>
      </c>
      <c r="E39" s="12">
        <v>17452</v>
      </c>
      <c r="F39" s="14">
        <f t="shared" si="0"/>
        <v>130.88999999999999</v>
      </c>
      <c r="G39" s="14">
        <f t="shared" si="1"/>
        <v>4.2539249999999988</v>
      </c>
      <c r="H39" s="12">
        <v>585</v>
      </c>
      <c r="I39" s="14">
        <f t="shared" si="2"/>
        <v>4.3875000000000002</v>
      </c>
      <c r="J39" s="14">
        <f t="shared" si="3"/>
        <v>19.012499999999999</v>
      </c>
      <c r="K39" s="12">
        <f t="shared" si="4"/>
        <v>18037</v>
      </c>
      <c r="L39" s="21">
        <f t="shared" si="5"/>
        <v>135.2775</v>
      </c>
      <c r="M39" s="21">
        <f t="shared" si="6"/>
        <v>586.20249999999999</v>
      </c>
      <c r="N39">
        <v>18037</v>
      </c>
    </row>
    <row r="40" spans="1:14">
      <c r="A40" s="12">
        <v>5137367980</v>
      </c>
      <c r="B40" s="13">
        <v>2308</v>
      </c>
      <c r="C40" s="12" t="s">
        <v>47</v>
      </c>
      <c r="D40" s="12">
        <v>31</v>
      </c>
      <c r="E40" s="12">
        <v>17452</v>
      </c>
      <c r="F40" s="14">
        <f t="shared" si="0"/>
        <v>130.88999999999999</v>
      </c>
      <c r="G40" s="14">
        <f t="shared" si="1"/>
        <v>4.2539249999999988</v>
      </c>
      <c r="H40" s="12">
        <v>863</v>
      </c>
      <c r="I40" s="14">
        <f t="shared" si="2"/>
        <v>6.4725000000000001</v>
      </c>
      <c r="J40" s="14">
        <f t="shared" si="3"/>
        <v>28.047499999999999</v>
      </c>
      <c r="K40" s="12">
        <f t="shared" si="4"/>
        <v>18315</v>
      </c>
      <c r="L40" s="21">
        <f t="shared" si="5"/>
        <v>137.36250000000001</v>
      </c>
      <c r="M40" s="21">
        <f t="shared" si="6"/>
        <v>595.23749999999995</v>
      </c>
      <c r="N40">
        <v>18315</v>
      </c>
    </row>
    <row r="41" spans="1:14">
      <c r="A41" s="12">
        <v>5137368022</v>
      </c>
      <c r="B41" s="13">
        <v>2307</v>
      </c>
      <c r="C41" s="12" t="s">
        <v>48</v>
      </c>
      <c r="D41" s="12">
        <v>25</v>
      </c>
      <c r="E41" s="12">
        <v>14073</v>
      </c>
      <c r="F41" s="14">
        <f t="shared" si="0"/>
        <v>105.5475</v>
      </c>
      <c r="G41" s="14">
        <f t="shared" si="1"/>
        <v>3.4302937500000001</v>
      </c>
      <c r="H41" s="12">
        <v>401</v>
      </c>
      <c r="I41" s="14">
        <f t="shared" si="2"/>
        <v>3.0074999999999998</v>
      </c>
      <c r="J41" s="14">
        <f t="shared" si="3"/>
        <v>13.032500000000001</v>
      </c>
      <c r="K41" s="12">
        <f t="shared" si="4"/>
        <v>14474</v>
      </c>
      <c r="L41" s="21">
        <f t="shared" si="5"/>
        <v>108.55500000000001</v>
      </c>
      <c r="M41" s="21">
        <f t="shared" si="6"/>
        <v>470.40499999999997</v>
      </c>
      <c r="N41">
        <v>14474</v>
      </c>
    </row>
    <row r="42" spans="1:14">
      <c r="A42" s="12">
        <v>5137368193</v>
      </c>
      <c r="B42" s="13">
        <v>2301</v>
      </c>
      <c r="C42" s="12" t="s">
        <v>49</v>
      </c>
      <c r="D42" s="12">
        <v>31</v>
      </c>
      <c r="E42" s="12">
        <v>16952</v>
      </c>
      <c r="F42" s="14">
        <f t="shared" si="0"/>
        <v>127.14</v>
      </c>
      <c r="G42" s="14">
        <f t="shared" si="1"/>
        <v>4.1320499999999996</v>
      </c>
      <c r="H42" s="12">
        <v>892</v>
      </c>
      <c r="I42" s="14">
        <f t="shared" si="2"/>
        <v>6.69</v>
      </c>
      <c r="J42" s="14">
        <f t="shared" si="3"/>
        <v>28.99</v>
      </c>
      <c r="K42" s="12">
        <f t="shared" si="4"/>
        <v>17844</v>
      </c>
      <c r="L42" s="21">
        <f t="shared" si="5"/>
        <v>133.83000000000001</v>
      </c>
      <c r="M42" s="21">
        <f t="shared" si="6"/>
        <v>579.92999999999995</v>
      </c>
      <c r="N42">
        <v>17844</v>
      </c>
    </row>
    <row r="43" spans="1:14">
      <c r="A43" s="12">
        <v>5137411793</v>
      </c>
      <c r="B43" s="13">
        <v>2313</v>
      </c>
      <c r="C43" s="12" t="s">
        <v>50</v>
      </c>
      <c r="D43" s="12">
        <v>31</v>
      </c>
      <c r="E43" s="12">
        <v>17452</v>
      </c>
      <c r="F43" s="14">
        <f t="shared" si="0"/>
        <v>130.88999999999999</v>
      </c>
      <c r="G43" s="14">
        <f t="shared" si="1"/>
        <v>4.2539249999999988</v>
      </c>
      <c r="H43" s="12">
        <v>858</v>
      </c>
      <c r="I43" s="14">
        <f t="shared" si="2"/>
        <v>6.4349999999999996</v>
      </c>
      <c r="J43" s="14">
        <f t="shared" si="3"/>
        <v>27.885000000000002</v>
      </c>
      <c r="K43" s="12">
        <f t="shared" si="4"/>
        <v>18310</v>
      </c>
      <c r="L43" s="21">
        <f t="shared" si="5"/>
        <v>137.32499999999999</v>
      </c>
      <c r="M43" s="21">
        <f t="shared" si="6"/>
        <v>595.07500000000005</v>
      </c>
      <c r="N43">
        <v>18310</v>
      </c>
    </row>
    <row r="44" spans="1:14">
      <c r="A44" s="12">
        <v>5137487867</v>
      </c>
      <c r="B44" s="13">
        <v>2323</v>
      </c>
      <c r="C44" s="12" t="s">
        <v>51</v>
      </c>
      <c r="D44" s="12">
        <v>31</v>
      </c>
      <c r="E44" s="12">
        <v>17454</v>
      </c>
      <c r="F44" s="14">
        <f t="shared" si="0"/>
        <v>130.905</v>
      </c>
      <c r="G44" s="14">
        <f t="shared" si="1"/>
        <v>4.2544124999999999</v>
      </c>
      <c r="H44" s="12">
        <v>858</v>
      </c>
      <c r="I44" s="14">
        <f t="shared" si="2"/>
        <v>6.4349999999999996</v>
      </c>
      <c r="J44" s="14">
        <f t="shared" si="3"/>
        <v>27.885000000000002</v>
      </c>
      <c r="K44" s="12">
        <f t="shared" si="4"/>
        <v>18312</v>
      </c>
      <c r="L44" s="21">
        <f t="shared" si="5"/>
        <v>137.34</v>
      </c>
      <c r="M44" s="21">
        <f t="shared" si="6"/>
        <v>595.14</v>
      </c>
      <c r="N44">
        <v>18312</v>
      </c>
    </row>
    <row r="45" spans="1:14">
      <c r="A45" s="12">
        <v>5137488186</v>
      </c>
      <c r="B45" s="13">
        <v>2321</v>
      </c>
      <c r="C45" s="12" t="s">
        <v>52</v>
      </c>
      <c r="D45" s="12">
        <v>30</v>
      </c>
      <c r="E45" s="12">
        <v>16840</v>
      </c>
      <c r="F45" s="14">
        <f t="shared" si="0"/>
        <v>126.3</v>
      </c>
      <c r="G45" s="14">
        <f t="shared" si="1"/>
        <v>4.1047499999999992</v>
      </c>
      <c r="H45" s="12">
        <v>608</v>
      </c>
      <c r="I45" s="14">
        <f t="shared" si="2"/>
        <v>4.5599999999999996</v>
      </c>
      <c r="J45" s="14">
        <f t="shared" si="3"/>
        <v>19.760000000000002</v>
      </c>
      <c r="K45" s="12">
        <f t="shared" si="4"/>
        <v>17448</v>
      </c>
      <c r="L45" s="21">
        <f t="shared" si="5"/>
        <v>130.86000000000001</v>
      </c>
      <c r="M45" s="21">
        <f t="shared" si="6"/>
        <v>567.05999999999995</v>
      </c>
      <c r="N45">
        <v>17448</v>
      </c>
    </row>
    <row r="46" spans="1:14">
      <c r="A46" s="12">
        <v>5137488350</v>
      </c>
      <c r="B46" s="13">
        <v>2325</v>
      </c>
      <c r="C46" s="12" t="s">
        <v>53</v>
      </c>
      <c r="D46" s="12">
        <v>30</v>
      </c>
      <c r="E46" s="12">
        <v>17907</v>
      </c>
      <c r="F46" s="14">
        <f t="shared" si="0"/>
        <v>134.30250000000001</v>
      </c>
      <c r="G46" s="14">
        <f t="shared" si="1"/>
        <v>4.3648312499999999</v>
      </c>
      <c r="H46" s="12">
        <v>671</v>
      </c>
      <c r="I46" s="14">
        <f t="shared" si="2"/>
        <v>5.0324999999999998</v>
      </c>
      <c r="J46" s="14">
        <f t="shared" si="3"/>
        <v>21.807500000000001</v>
      </c>
      <c r="K46" s="12">
        <f t="shared" si="4"/>
        <v>18578</v>
      </c>
      <c r="L46" s="21">
        <f t="shared" si="5"/>
        <v>139.33500000000001</v>
      </c>
      <c r="M46" s="21">
        <f t="shared" si="6"/>
        <v>603.78499999999997</v>
      </c>
      <c r="N46">
        <v>18578</v>
      </c>
    </row>
    <row r="47" spans="1:14">
      <c r="A47" s="12">
        <v>5137493296</v>
      </c>
      <c r="B47" s="13">
        <v>2324</v>
      </c>
      <c r="C47" s="12" t="s">
        <v>54</v>
      </c>
      <c r="D47" s="12">
        <v>31</v>
      </c>
      <c r="E47" s="12">
        <v>19605</v>
      </c>
      <c r="F47" s="14">
        <f t="shared" si="0"/>
        <v>147.03749999999999</v>
      </c>
      <c r="G47" s="14">
        <f t="shared" si="1"/>
        <v>4.7787187499999995</v>
      </c>
      <c r="H47" s="12">
        <v>833</v>
      </c>
      <c r="I47" s="14">
        <f t="shared" si="2"/>
        <v>6.2474999999999996</v>
      </c>
      <c r="J47" s="14">
        <f t="shared" si="3"/>
        <v>27.072500000000002</v>
      </c>
      <c r="K47" s="12">
        <f t="shared" si="4"/>
        <v>20438</v>
      </c>
      <c r="L47" s="21">
        <f t="shared" si="5"/>
        <v>153.285</v>
      </c>
      <c r="M47" s="21">
        <f t="shared" si="6"/>
        <v>664.23500000000001</v>
      </c>
      <c r="N47">
        <v>20438</v>
      </c>
    </row>
    <row r="48" spans="1:14">
      <c r="A48" s="12">
        <v>5137494237</v>
      </c>
      <c r="B48" s="13">
        <v>2328</v>
      </c>
      <c r="C48" s="12" t="s">
        <v>55</v>
      </c>
      <c r="D48" s="12">
        <v>31</v>
      </c>
      <c r="E48" s="12">
        <v>18505</v>
      </c>
      <c r="F48" s="14">
        <f t="shared" si="0"/>
        <v>138.78749999999999</v>
      </c>
      <c r="G48" s="14">
        <f t="shared" si="1"/>
        <v>4.51059375</v>
      </c>
      <c r="H48" s="12">
        <v>648</v>
      </c>
      <c r="I48" s="14">
        <f t="shared" si="2"/>
        <v>4.8600000000000003</v>
      </c>
      <c r="J48" s="14">
        <f t="shared" si="3"/>
        <v>21.06</v>
      </c>
      <c r="K48" s="12">
        <f t="shared" si="4"/>
        <v>19153</v>
      </c>
      <c r="L48" s="21">
        <f t="shared" si="5"/>
        <v>143.64750000000001</v>
      </c>
      <c r="M48" s="21">
        <f t="shared" si="6"/>
        <v>622.47249999999997</v>
      </c>
      <c r="N48">
        <v>19153</v>
      </c>
    </row>
    <row r="49" spans="1:14">
      <c r="A49" s="12">
        <v>5137498733</v>
      </c>
      <c r="B49" s="13">
        <v>2339</v>
      </c>
      <c r="C49" s="12" t="s">
        <v>56</v>
      </c>
      <c r="D49" s="12">
        <v>26</v>
      </c>
      <c r="E49" s="12">
        <v>15524</v>
      </c>
      <c r="F49" s="14">
        <f t="shared" si="0"/>
        <v>116.43</v>
      </c>
      <c r="G49" s="14">
        <f t="shared" si="1"/>
        <v>3.7839750000000003</v>
      </c>
      <c r="H49" s="12">
        <v>718</v>
      </c>
      <c r="I49" s="14">
        <f t="shared" si="2"/>
        <v>5.3849999999999998</v>
      </c>
      <c r="J49" s="14">
        <f t="shared" si="3"/>
        <v>23.335000000000001</v>
      </c>
      <c r="K49" s="12">
        <f t="shared" si="4"/>
        <v>16242</v>
      </c>
      <c r="L49" s="21">
        <f t="shared" si="5"/>
        <v>121.815</v>
      </c>
      <c r="M49" s="21">
        <f t="shared" si="6"/>
        <v>527.86500000000001</v>
      </c>
      <c r="N49">
        <v>16242</v>
      </c>
    </row>
    <row r="50" spans="1:14">
      <c r="A50" s="12">
        <v>5137527155</v>
      </c>
      <c r="B50" s="13">
        <v>2341</v>
      </c>
      <c r="C50" s="12" t="s">
        <v>57</v>
      </c>
      <c r="D50" s="12">
        <v>31</v>
      </c>
      <c r="E50" s="12">
        <v>19611</v>
      </c>
      <c r="F50" s="14">
        <f t="shared" si="0"/>
        <v>147.08250000000001</v>
      </c>
      <c r="G50" s="14">
        <f t="shared" si="1"/>
        <v>4.7801812500000009</v>
      </c>
      <c r="H50" s="12">
        <v>834</v>
      </c>
      <c r="I50" s="14">
        <f t="shared" si="2"/>
        <v>6.2549999999999999</v>
      </c>
      <c r="J50" s="14">
        <f t="shared" si="3"/>
        <v>27.105</v>
      </c>
      <c r="K50" s="12">
        <f t="shared" si="4"/>
        <v>20445</v>
      </c>
      <c r="L50" s="21">
        <f t="shared" si="5"/>
        <v>153.33750000000001</v>
      </c>
      <c r="M50" s="21">
        <f t="shared" si="6"/>
        <v>664.46249999999998</v>
      </c>
      <c r="N50">
        <v>20445</v>
      </c>
    </row>
    <row r="51" spans="1:14">
      <c r="A51" s="12">
        <v>5134021508</v>
      </c>
      <c r="B51" s="13">
        <v>2354</v>
      </c>
      <c r="C51" s="12" t="s">
        <v>58</v>
      </c>
      <c r="D51" s="12">
        <v>29</v>
      </c>
      <c r="E51" s="12">
        <v>18344</v>
      </c>
      <c r="F51" s="14">
        <f t="shared" si="0"/>
        <v>137.58000000000001</v>
      </c>
      <c r="G51" s="14">
        <f t="shared" si="1"/>
        <v>4.4713500000000002</v>
      </c>
      <c r="H51" s="12">
        <v>663</v>
      </c>
      <c r="I51" s="14">
        <f t="shared" si="2"/>
        <v>4.9725000000000001</v>
      </c>
      <c r="J51" s="14">
        <f t="shared" si="3"/>
        <v>21.547499999999999</v>
      </c>
      <c r="K51" s="12">
        <f t="shared" si="4"/>
        <v>19007</v>
      </c>
      <c r="L51" s="21">
        <f t="shared" si="5"/>
        <v>142.55250000000001</v>
      </c>
      <c r="M51" s="21">
        <f t="shared" si="6"/>
        <v>617.72749999999996</v>
      </c>
      <c r="N51">
        <v>19007</v>
      </c>
    </row>
    <row r="52" spans="1:14">
      <c r="A52" s="12">
        <v>5137606360</v>
      </c>
      <c r="B52" s="13">
        <v>2362</v>
      </c>
      <c r="C52" s="12" t="s">
        <v>59</v>
      </c>
      <c r="D52" s="12">
        <v>27</v>
      </c>
      <c r="E52" s="12">
        <v>18038</v>
      </c>
      <c r="F52" s="14">
        <f t="shared" si="0"/>
        <v>135.285</v>
      </c>
      <c r="G52" s="14">
        <f t="shared" si="1"/>
        <v>4.3967624999999995</v>
      </c>
      <c r="H52" s="12">
        <v>607</v>
      </c>
      <c r="I52" s="14">
        <f t="shared" si="2"/>
        <v>4.5525000000000002</v>
      </c>
      <c r="J52" s="14">
        <f t="shared" si="3"/>
        <v>19.727499999999999</v>
      </c>
      <c r="K52" s="12">
        <f t="shared" si="4"/>
        <v>18645</v>
      </c>
      <c r="L52" s="21">
        <f t="shared" si="5"/>
        <v>139.83750000000001</v>
      </c>
      <c r="M52" s="21">
        <f t="shared" si="6"/>
        <v>605.96249999999998</v>
      </c>
      <c r="N52">
        <v>18645</v>
      </c>
    </row>
    <row r="53" spans="1:14">
      <c r="A53" s="12">
        <v>5129467873</v>
      </c>
      <c r="B53" s="13">
        <v>2367</v>
      </c>
      <c r="C53" s="12" t="s">
        <v>60</v>
      </c>
      <c r="D53" s="12">
        <v>31</v>
      </c>
      <c r="E53" s="12">
        <v>17405</v>
      </c>
      <c r="F53" s="14">
        <f t="shared" si="0"/>
        <v>130.53749999999999</v>
      </c>
      <c r="G53" s="14">
        <f t="shared" si="1"/>
        <v>4.2424687499999996</v>
      </c>
      <c r="H53" s="12">
        <v>831</v>
      </c>
      <c r="I53" s="14">
        <f t="shared" si="2"/>
        <v>6.2324999999999999</v>
      </c>
      <c r="J53" s="14">
        <f t="shared" si="3"/>
        <v>27.0075</v>
      </c>
      <c r="K53" s="12">
        <f t="shared" si="4"/>
        <v>18236</v>
      </c>
      <c r="L53" s="21">
        <f t="shared" si="5"/>
        <v>136.77000000000001</v>
      </c>
      <c r="M53" s="21">
        <f t="shared" si="6"/>
        <v>592.66999999999996</v>
      </c>
      <c r="N53">
        <v>18236</v>
      </c>
    </row>
    <row r="54" spans="1:14">
      <c r="A54" s="12">
        <v>5137606609</v>
      </c>
      <c r="B54" s="13">
        <v>2360</v>
      </c>
      <c r="C54" s="12" t="s">
        <v>61</v>
      </c>
      <c r="D54" s="12">
        <v>31</v>
      </c>
      <c r="E54" s="12">
        <v>20200</v>
      </c>
      <c r="F54" s="14">
        <f t="shared" si="0"/>
        <v>151.5</v>
      </c>
      <c r="G54" s="14">
        <f t="shared" si="1"/>
        <v>4.9237500000000001</v>
      </c>
      <c r="H54" s="12">
        <v>909</v>
      </c>
      <c r="I54" s="14">
        <f t="shared" si="2"/>
        <v>6.8174999999999999</v>
      </c>
      <c r="J54" s="14">
        <f t="shared" si="3"/>
        <v>29.5425</v>
      </c>
      <c r="K54" s="12">
        <f t="shared" si="4"/>
        <v>21109</v>
      </c>
      <c r="L54" s="21">
        <f t="shared" si="5"/>
        <v>158.3175</v>
      </c>
      <c r="M54" s="21">
        <f t="shared" si="6"/>
        <v>686.04250000000002</v>
      </c>
      <c r="N54">
        <v>21109</v>
      </c>
    </row>
    <row r="55" spans="1:14">
      <c r="A55" s="12">
        <v>5137614014</v>
      </c>
      <c r="B55" s="13">
        <v>2355</v>
      </c>
      <c r="C55" s="12" t="s">
        <v>62</v>
      </c>
      <c r="D55" s="12">
        <v>31</v>
      </c>
      <c r="E55" s="12">
        <v>18511</v>
      </c>
      <c r="F55" s="14">
        <f t="shared" si="0"/>
        <v>138.83250000000001</v>
      </c>
      <c r="G55" s="14">
        <f t="shared" si="1"/>
        <v>4.5120562500000005</v>
      </c>
      <c r="H55" s="12">
        <v>669</v>
      </c>
      <c r="I55" s="14">
        <f t="shared" si="2"/>
        <v>5.0175000000000001</v>
      </c>
      <c r="J55" s="14">
        <f t="shared" si="3"/>
        <v>21.7425</v>
      </c>
      <c r="K55" s="12">
        <f t="shared" si="4"/>
        <v>19180</v>
      </c>
      <c r="L55" s="21">
        <f t="shared" si="5"/>
        <v>143.85</v>
      </c>
      <c r="M55" s="21">
        <f t="shared" si="6"/>
        <v>623.35</v>
      </c>
      <c r="N55">
        <v>19180</v>
      </c>
    </row>
    <row r="56" spans="1:14">
      <c r="A56" s="12">
        <v>5135485792</v>
      </c>
      <c r="B56" s="13">
        <v>2376</v>
      </c>
      <c r="C56" s="12" t="s">
        <v>63</v>
      </c>
      <c r="D56" s="12">
        <v>31</v>
      </c>
      <c r="E56" s="12">
        <v>17952</v>
      </c>
      <c r="F56" s="14">
        <f t="shared" si="0"/>
        <v>134.63999999999999</v>
      </c>
      <c r="G56" s="14">
        <f t="shared" si="1"/>
        <v>4.375799999999999</v>
      </c>
      <c r="H56" s="12">
        <v>649</v>
      </c>
      <c r="I56" s="14">
        <f t="shared" si="2"/>
        <v>4.8674999999999997</v>
      </c>
      <c r="J56" s="14">
        <f t="shared" si="3"/>
        <v>21.092500000000001</v>
      </c>
      <c r="K56" s="12">
        <f t="shared" si="4"/>
        <v>18601</v>
      </c>
      <c r="L56" s="21">
        <f t="shared" si="5"/>
        <v>139.50749999999999</v>
      </c>
      <c r="M56" s="21">
        <f t="shared" si="6"/>
        <v>604.53250000000003</v>
      </c>
      <c r="N56">
        <v>18601</v>
      </c>
    </row>
    <row r="57" spans="1:14">
      <c r="A57" s="12">
        <v>5137635009</v>
      </c>
      <c r="B57" s="13">
        <v>2364</v>
      </c>
      <c r="C57" s="12" t="s">
        <v>64</v>
      </c>
      <c r="D57" s="12">
        <v>30</v>
      </c>
      <c r="E57" s="12">
        <v>18339</v>
      </c>
      <c r="F57" s="14">
        <f t="shared" si="0"/>
        <v>137.54249999999999</v>
      </c>
      <c r="G57" s="14">
        <f t="shared" si="1"/>
        <v>4.4701312499999997</v>
      </c>
      <c r="H57" s="12">
        <v>663</v>
      </c>
      <c r="I57" s="14">
        <f t="shared" si="2"/>
        <v>4.9725000000000001</v>
      </c>
      <c r="J57" s="14">
        <f t="shared" si="3"/>
        <v>21.547499999999999</v>
      </c>
      <c r="K57" s="12">
        <f t="shared" si="4"/>
        <v>19002</v>
      </c>
      <c r="L57" s="21">
        <f t="shared" si="5"/>
        <v>142.51499999999999</v>
      </c>
      <c r="M57" s="21">
        <f t="shared" si="6"/>
        <v>617.56500000000005</v>
      </c>
      <c r="N57">
        <v>19002</v>
      </c>
    </row>
    <row r="58" spans="1:14">
      <c r="A58" s="12">
        <v>5137635527</v>
      </c>
      <c r="B58" s="13">
        <v>2380</v>
      </c>
      <c r="C58" s="12" t="s">
        <v>65</v>
      </c>
      <c r="D58" s="12">
        <v>31</v>
      </c>
      <c r="E58" s="12">
        <v>19605</v>
      </c>
      <c r="F58" s="14">
        <f t="shared" si="0"/>
        <v>147.03749999999999</v>
      </c>
      <c r="G58" s="14">
        <f t="shared" si="1"/>
        <v>4.7787187499999995</v>
      </c>
      <c r="H58" s="12">
        <v>902</v>
      </c>
      <c r="I58" s="14">
        <f t="shared" si="2"/>
        <v>6.7649999999999997</v>
      </c>
      <c r="J58" s="14">
        <f t="shared" si="3"/>
        <v>29.315000000000001</v>
      </c>
      <c r="K58" s="12">
        <f t="shared" si="4"/>
        <v>20507</v>
      </c>
      <c r="L58" s="21">
        <f t="shared" si="5"/>
        <v>153.80250000000001</v>
      </c>
      <c r="M58" s="21">
        <f t="shared" si="6"/>
        <v>666.47749999999996</v>
      </c>
      <c r="N58">
        <v>20507</v>
      </c>
    </row>
    <row r="59" spans="1:14">
      <c r="A59" s="12">
        <v>5137713623</v>
      </c>
      <c r="B59" s="13">
        <v>2405</v>
      </c>
      <c r="C59" s="12" t="s">
        <v>66</v>
      </c>
      <c r="D59" s="12">
        <v>27</v>
      </c>
      <c r="E59" s="12">
        <v>17555</v>
      </c>
      <c r="F59" s="14">
        <f t="shared" si="0"/>
        <v>131.66249999999999</v>
      </c>
      <c r="G59" s="14">
        <f t="shared" si="1"/>
        <v>4.2790312500000001</v>
      </c>
      <c r="H59" s="12">
        <v>746</v>
      </c>
      <c r="I59" s="14">
        <f t="shared" si="2"/>
        <v>5.5949999999999998</v>
      </c>
      <c r="J59" s="14">
        <f t="shared" si="3"/>
        <v>24.245000000000001</v>
      </c>
      <c r="K59" s="12">
        <f t="shared" si="4"/>
        <v>18301</v>
      </c>
      <c r="L59" s="21">
        <f t="shared" si="5"/>
        <v>137.25749999999999</v>
      </c>
      <c r="M59" s="21">
        <f t="shared" si="6"/>
        <v>594.78250000000003</v>
      </c>
      <c r="N59">
        <v>18301</v>
      </c>
    </row>
    <row r="60" spans="1:14">
      <c r="A60" s="12">
        <v>5137718258</v>
      </c>
      <c r="B60" s="13">
        <v>2409</v>
      </c>
      <c r="C60" s="12" t="s">
        <v>67</v>
      </c>
      <c r="D60" s="12">
        <v>30</v>
      </c>
      <c r="E60" s="12">
        <v>15416</v>
      </c>
      <c r="F60" s="14">
        <f t="shared" si="0"/>
        <v>115.62</v>
      </c>
      <c r="G60" s="14">
        <f t="shared" si="1"/>
        <v>3.7576499999999999</v>
      </c>
      <c r="H60" s="12">
        <v>519</v>
      </c>
      <c r="I60" s="14">
        <f t="shared" si="2"/>
        <v>3.8925000000000001</v>
      </c>
      <c r="J60" s="14">
        <f t="shared" si="3"/>
        <v>16.8675</v>
      </c>
      <c r="K60" s="12">
        <f t="shared" si="4"/>
        <v>15935</v>
      </c>
      <c r="L60" s="21">
        <f t="shared" si="5"/>
        <v>119.5125</v>
      </c>
      <c r="M60" s="21">
        <f t="shared" si="6"/>
        <v>517.88750000000005</v>
      </c>
      <c r="N60">
        <v>15935</v>
      </c>
    </row>
    <row r="61" spans="1:14">
      <c r="A61" s="12">
        <v>5703074414</v>
      </c>
      <c r="B61" s="13">
        <v>2383</v>
      </c>
      <c r="C61" s="12" t="s">
        <v>68</v>
      </c>
      <c r="D61" s="12">
        <v>31</v>
      </c>
      <c r="E61" s="12">
        <v>16952</v>
      </c>
      <c r="F61" s="14">
        <f t="shared" si="0"/>
        <v>127.14</v>
      </c>
      <c r="G61" s="14">
        <f t="shared" si="1"/>
        <v>4.1320499999999996</v>
      </c>
      <c r="H61" s="12">
        <v>655</v>
      </c>
      <c r="I61" s="14">
        <f t="shared" si="2"/>
        <v>4.9124999999999996</v>
      </c>
      <c r="J61" s="14">
        <f t="shared" si="3"/>
        <v>21.287500000000001</v>
      </c>
      <c r="K61" s="12">
        <f t="shared" si="4"/>
        <v>17607</v>
      </c>
      <c r="L61" s="21">
        <f t="shared" si="5"/>
        <v>132.05250000000001</v>
      </c>
      <c r="M61" s="21">
        <f t="shared" si="6"/>
        <v>572.22749999999996</v>
      </c>
      <c r="N61">
        <v>17607</v>
      </c>
    </row>
    <row r="62" spans="1:14">
      <c r="A62" s="12">
        <v>5137729337</v>
      </c>
      <c r="B62" s="13">
        <v>2412</v>
      </c>
      <c r="C62" s="12" t="s">
        <v>69</v>
      </c>
      <c r="D62" s="12">
        <v>3</v>
      </c>
      <c r="E62" s="12">
        <v>1541</v>
      </c>
      <c r="F62" s="14">
        <f t="shared" si="0"/>
        <v>11.557499999999999</v>
      </c>
      <c r="G62" s="14">
        <f t="shared" si="1"/>
        <v>0.37561875</v>
      </c>
      <c r="H62" s="12">
        <v>66</v>
      </c>
      <c r="I62" s="14">
        <f t="shared" si="2"/>
        <v>0.495</v>
      </c>
      <c r="J62" s="14">
        <f t="shared" si="3"/>
        <v>2.145</v>
      </c>
      <c r="K62" s="12">
        <f t="shared" si="4"/>
        <v>1607</v>
      </c>
      <c r="L62" s="21">
        <f t="shared" si="5"/>
        <v>12.0525</v>
      </c>
      <c r="M62" s="21">
        <f t="shared" si="6"/>
        <v>52.227499999999999</v>
      </c>
      <c r="N62">
        <v>1607</v>
      </c>
    </row>
    <row r="63" spans="1:14">
      <c r="A63" s="12">
        <v>5137796315</v>
      </c>
      <c r="B63" s="13">
        <v>1983</v>
      </c>
      <c r="C63" s="12" t="s">
        <v>70</v>
      </c>
      <c r="D63" s="12">
        <v>31</v>
      </c>
      <c r="E63" s="12">
        <v>18240</v>
      </c>
      <c r="F63" s="14">
        <f t="shared" si="0"/>
        <v>136.80000000000001</v>
      </c>
      <c r="G63" s="14">
        <f t="shared" si="1"/>
        <v>4.4460000000000006</v>
      </c>
      <c r="H63" s="12">
        <v>816</v>
      </c>
      <c r="I63" s="14">
        <f t="shared" si="2"/>
        <v>6.12</v>
      </c>
      <c r="J63" s="14">
        <f t="shared" si="3"/>
        <v>26.52</v>
      </c>
      <c r="K63" s="12">
        <f t="shared" si="4"/>
        <v>19056</v>
      </c>
      <c r="L63" s="21">
        <f t="shared" si="5"/>
        <v>142.91999999999999</v>
      </c>
      <c r="M63" s="21">
        <f t="shared" si="6"/>
        <v>619.32000000000005</v>
      </c>
      <c r="N63">
        <v>19056</v>
      </c>
    </row>
    <row r="64" spans="1:14">
      <c r="A64" s="12">
        <v>5137807088</v>
      </c>
      <c r="B64" s="13">
        <v>2430</v>
      </c>
      <c r="C64" s="12" t="s">
        <v>71</v>
      </c>
      <c r="D64" s="12">
        <v>30</v>
      </c>
      <c r="E64" s="12">
        <v>16887</v>
      </c>
      <c r="F64" s="14">
        <f t="shared" si="0"/>
        <v>126.6525</v>
      </c>
      <c r="G64" s="14">
        <f t="shared" si="1"/>
        <v>4.1162062500000003</v>
      </c>
      <c r="H64" s="12">
        <v>815</v>
      </c>
      <c r="I64" s="14">
        <f t="shared" si="2"/>
        <v>6.1124999999999998</v>
      </c>
      <c r="J64" s="14">
        <f t="shared" si="3"/>
        <v>26.487500000000001</v>
      </c>
      <c r="K64" s="12">
        <f t="shared" si="4"/>
        <v>17702</v>
      </c>
      <c r="L64" s="21">
        <f t="shared" si="5"/>
        <v>132.76499999999999</v>
      </c>
      <c r="M64" s="21">
        <f t="shared" si="6"/>
        <v>575.31500000000005</v>
      </c>
      <c r="N64">
        <v>17702</v>
      </c>
    </row>
    <row r="65" spans="1:14">
      <c r="A65" s="12">
        <v>5135305350</v>
      </c>
      <c r="B65" s="13">
        <v>2441</v>
      </c>
      <c r="C65" s="12" t="s">
        <v>72</v>
      </c>
      <c r="D65" s="12">
        <v>26</v>
      </c>
      <c r="E65" s="12">
        <v>14207</v>
      </c>
      <c r="F65" s="14">
        <f t="shared" si="0"/>
        <v>106.55249999999999</v>
      </c>
      <c r="G65" s="14">
        <f t="shared" si="1"/>
        <v>3.4629562499999995</v>
      </c>
      <c r="H65" s="12">
        <v>551</v>
      </c>
      <c r="I65" s="14">
        <f t="shared" si="2"/>
        <v>4.1325000000000003</v>
      </c>
      <c r="J65" s="14">
        <f t="shared" si="3"/>
        <v>17.907499999999999</v>
      </c>
      <c r="K65" s="12">
        <f t="shared" si="4"/>
        <v>14758</v>
      </c>
      <c r="L65" s="21">
        <f t="shared" si="5"/>
        <v>110.685</v>
      </c>
      <c r="M65" s="21">
        <f t="shared" si="6"/>
        <v>479.63499999999999</v>
      </c>
      <c r="N65">
        <v>14758</v>
      </c>
    </row>
    <row r="66" spans="1:14">
      <c r="A66" s="12">
        <v>5133110820</v>
      </c>
      <c r="B66" s="13">
        <v>2452</v>
      </c>
      <c r="C66" s="12" t="s">
        <v>73</v>
      </c>
      <c r="D66" s="12">
        <v>15</v>
      </c>
      <c r="E66" s="12">
        <v>10021</v>
      </c>
      <c r="F66" s="14">
        <f t="shared" si="0"/>
        <v>75.157499999999999</v>
      </c>
      <c r="G66" s="14">
        <f t="shared" si="1"/>
        <v>2.4426187499999998</v>
      </c>
      <c r="H66" s="12">
        <v>376</v>
      </c>
      <c r="I66" s="14">
        <f t="shared" si="2"/>
        <v>2.82</v>
      </c>
      <c r="J66" s="14">
        <f t="shared" si="3"/>
        <v>12.22</v>
      </c>
      <c r="K66" s="12">
        <f t="shared" si="4"/>
        <v>10397</v>
      </c>
      <c r="L66" s="21">
        <f t="shared" si="5"/>
        <v>77.977500000000006</v>
      </c>
      <c r="M66" s="21">
        <f t="shared" si="6"/>
        <v>337.90249999999997</v>
      </c>
      <c r="N66">
        <v>10397</v>
      </c>
    </row>
    <row r="67" spans="1:14">
      <c r="A67" s="12">
        <v>5137893532</v>
      </c>
      <c r="B67" s="13">
        <v>2446</v>
      </c>
      <c r="C67" s="12" t="s">
        <v>74</v>
      </c>
      <c r="D67" s="12">
        <v>30</v>
      </c>
      <c r="E67" s="12">
        <v>19534</v>
      </c>
      <c r="F67" s="14">
        <f t="shared" ref="F67:F89" si="7">E67*0.75/100</f>
        <v>146.505</v>
      </c>
      <c r="G67" s="14">
        <f t="shared" ref="G67:G89" si="8">F67*3.25/100</f>
        <v>4.7614125000000005</v>
      </c>
      <c r="H67" s="12">
        <v>791</v>
      </c>
      <c r="I67" s="14">
        <f t="shared" ref="I67:I89" si="9">H67*0.75/100</f>
        <v>5.9325000000000001</v>
      </c>
      <c r="J67" s="14">
        <f t="shared" ref="J67:J89" si="10">H67*3.25/100</f>
        <v>25.7075</v>
      </c>
      <c r="K67" s="12">
        <f t="shared" ref="K67:K88" si="11">E67+H67</f>
        <v>20325</v>
      </c>
      <c r="L67" s="21">
        <f t="shared" ref="L67:L89" si="12">K67*0.75/100</f>
        <v>152.4375</v>
      </c>
      <c r="M67" s="21">
        <f t="shared" ref="M67:M89" si="13">K67*3.25/100</f>
        <v>660.5625</v>
      </c>
      <c r="N67">
        <v>20325</v>
      </c>
    </row>
    <row r="68" spans="1:14">
      <c r="A68" s="12">
        <v>5137893872</v>
      </c>
      <c r="B68" s="13">
        <v>2447</v>
      </c>
      <c r="C68" s="12" t="s">
        <v>75</v>
      </c>
      <c r="D68" s="12">
        <v>29</v>
      </c>
      <c r="E68" s="12">
        <v>17727</v>
      </c>
      <c r="F68" s="14">
        <f t="shared" si="7"/>
        <v>132.95249999999999</v>
      </c>
      <c r="G68" s="14">
        <f t="shared" si="8"/>
        <v>4.3209562499999992</v>
      </c>
      <c r="H68" s="12">
        <v>641</v>
      </c>
      <c r="I68" s="14">
        <f t="shared" si="9"/>
        <v>4.8075000000000001</v>
      </c>
      <c r="J68" s="14">
        <f t="shared" si="10"/>
        <v>20.8325</v>
      </c>
      <c r="K68" s="12">
        <f t="shared" si="11"/>
        <v>18368</v>
      </c>
      <c r="L68" s="21">
        <f t="shared" si="12"/>
        <v>137.76</v>
      </c>
      <c r="M68" s="21">
        <f t="shared" si="13"/>
        <v>596.96</v>
      </c>
      <c r="N68">
        <v>18368</v>
      </c>
    </row>
    <row r="69" spans="1:14">
      <c r="A69" s="12">
        <v>5133455014</v>
      </c>
      <c r="B69" s="13">
        <v>2454</v>
      </c>
      <c r="C69" s="12" t="s">
        <v>76</v>
      </c>
      <c r="D69" s="12">
        <v>24</v>
      </c>
      <c r="E69" s="12">
        <v>16363</v>
      </c>
      <c r="F69" s="14">
        <f t="shared" si="7"/>
        <v>122.7225</v>
      </c>
      <c r="G69" s="14">
        <f t="shared" si="8"/>
        <v>3.98848125</v>
      </c>
      <c r="H69" s="12">
        <v>634</v>
      </c>
      <c r="I69" s="14">
        <f t="shared" si="9"/>
        <v>4.7549999999999999</v>
      </c>
      <c r="J69" s="14">
        <f t="shared" si="10"/>
        <v>20.605</v>
      </c>
      <c r="K69" s="12">
        <f t="shared" si="11"/>
        <v>16997</v>
      </c>
      <c r="L69" s="21">
        <f t="shared" si="12"/>
        <v>127.47750000000001</v>
      </c>
      <c r="M69" s="21">
        <f t="shared" si="13"/>
        <v>552.40250000000003</v>
      </c>
      <c r="N69">
        <v>16997</v>
      </c>
    </row>
    <row r="70" spans="1:14">
      <c r="A70" s="12">
        <v>5137920552</v>
      </c>
      <c r="B70" s="13">
        <v>2457</v>
      </c>
      <c r="C70" s="12" t="s">
        <v>77</v>
      </c>
      <c r="D70" s="12">
        <v>27</v>
      </c>
      <c r="E70" s="12">
        <v>17384</v>
      </c>
      <c r="F70" s="14">
        <f t="shared" si="7"/>
        <v>130.38</v>
      </c>
      <c r="G70" s="14">
        <f t="shared" si="8"/>
        <v>4.2373500000000002</v>
      </c>
      <c r="H70" s="12">
        <v>739</v>
      </c>
      <c r="I70" s="14">
        <f t="shared" si="9"/>
        <v>5.5425000000000004</v>
      </c>
      <c r="J70" s="14">
        <f t="shared" si="10"/>
        <v>24.017499999999998</v>
      </c>
      <c r="K70" s="12">
        <f t="shared" si="11"/>
        <v>18123</v>
      </c>
      <c r="L70" s="21">
        <f t="shared" si="12"/>
        <v>135.92250000000001</v>
      </c>
      <c r="M70" s="21">
        <f t="shared" si="13"/>
        <v>588.99749999999995</v>
      </c>
      <c r="N70">
        <v>18123</v>
      </c>
    </row>
    <row r="71" spans="1:14">
      <c r="A71" s="12">
        <v>5137943760</v>
      </c>
      <c r="B71" s="13">
        <v>2463</v>
      </c>
      <c r="C71" s="12" t="s">
        <v>78</v>
      </c>
      <c r="D71" s="12">
        <v>31</v>
      </c>
      <c r="E71" s="12">
        <v>19000</v>
      </c>
      <c r="F71" s="14">
        <f t="shared" si="7"/>
        <v>142.5</v>
      </c>
      <c r="G71" s="14">
        <f t="shared" si="8"/>
        <v>4.6312499999999996</v>
      </c>
      <c r="H71" s="12">
        <v>686</v>
      </c>
      <c r="I71" s="14">
        <f t="shared" si="9"/>
        <v>5.1449999999999996</v>
      </c>
      <c r="J71" s="14">
        <f t="shared" si="10"/>
        <v>22.295000000000002</v>
      </c>
      <c r="K71" s="12">
        <f t="shared" si="11"/>
        <v>19686</v>
      </c>
      <c r="L71" s="21">
        <f t="shared" si="12"/>
        <v>147.64500000000001</v>
      </c>
      <c r="M71" s="21">
        <f t="shared" si="13"/>
        <v>639.79499999999996</v>
      </c>
      <c r="N71">
        <v>19686</v>
      </c>
    </row>
    <row r="72" spans="1:14">
      <c r="A72" s="12">
        <v>5137952258</v>
      </c>
      <c r="B72" s="13">
        <v>2462</v>
      </c>
      <c r="C72" s="12" t="s">
        <v>79</v>
      </c>
      <c r="D72" s="12">
        <v>26</v>
      </c>
      <c r="E72" s="12">
        <v>15055</v>
      </c>
      <c r="F72" s="14">
        <f t="shared" si="7"/>
        <v>112.91249999999999</v>
      </c>
      <c r="G72" s="14">
        <f t="shared" si="8"/>
        <v>3.6696562500000001</v>
      </c>
      <c r="H72" s="12">
        <v>603</v>
      </c>
      <c r="I72" s="14">
        <f t="shared" si="9"/>
        <v>4.5225</v>
      </c>
      <c r="J72" s="14">
        <f t="shared" si="10"/>
        <v>19.5975</v>
      </c>
      <c r="K72" s="12">
        <f t="shared" si="11"/>
        <v>15658</v>
      </c>
      <c r="L72" s="21">
        <f t="shared" si="12"/>
        <v>117.435</v>
      </c>
      <c r="M72" s="21">
        <f t="shared" si="13"/>
        <v>508.88499999999999</v>
      </c>
      <c r="N72">
        <v>15658</v>
      </c>
    </row>
    <row r="73" spans="1:14">
      <c r="A73" s="12">
        <v>5137975151</v>
      </c>
      <c r="B73" s="13">
        <v>2466</v>
      </c>
      <c r="C73" s="12" t="s">
        <v>80</v>
      </c>
      <c r="D73" s="12">
        <v>22</v>
      </c>
      <c r="E73" s="12">
        <v>13137</v>
      </c>
      <c r="F73" s="14">
        <f t="shared" si="7"/>
        <v>98.527500000000003</v>
      </c>
      <c r="G73" s="14">
        <f t="shared" si="8"/>
        <v>3.2021437500000003</v>
      </c>
      <c r="H73" s="12">
        <v>559</v>
      </c>
      <c r="I73" s="14">
        <f t="shared" si="9"/>
        <v>4.1924999999999999</v>
      </c>
      <c r="J73" s="14">
        <f t="shared" si="10"/>
        <v>18.1675</v>
      </c>
      <c r="K73" s="12">
        <f t="shared" si="11"/>
        <v>13696</v>
      </c>
      <c r="L73" s="21">
        <f t="shared" si="12"/>
        <v>102.72</v>
      </c>
      <c r="M73" s="21">
        <f t="shared" si="13"/>
        <v>445.12</v>
      </c>
      <c r="N73">
        <v>13696</v>
      </c>
    </row>
    <row r="74" spans="1:14">
      <c r="A74" s="12">
        <v>5138020115</v>
      </c>
      <c r="B74" s="13">
        <v>2473</v>
      </c>
      <c r="C74" s="12" t="s">
        <v>81</v>
      </c>
      <c r="D74" s="12">
        <v>29</v>
      </c>
      <c r="E74" s="12">
        <v>16287</v>
      </c>
      <c r="F74" s="14">
        <f t="shared" si="7"/>
        <v>122.1525</v>
      </c>
      <c r="G74" s="14">
        <f t="shared" si="8"/>
        <v>3.9699562500000001</v>
      </c>
      <c r="H74" s="12">
        <v>693</v>
      </c>
      <c r="I74" s="14">
        <f t="shared" si="9"/>
        <v>5.1974999999999998</v>
      </c>
      <c r="J74" s="14">
        <f t="shared" si="10"/>
        <v>22.522500000000001</v>
      </c>
      <c r="K74" s="12">
        <f t="shared" si="11"/>
        <v>16980</v>
      </c>
      <c r="L74" s="21">
        <f t="shared" si="12"/>
        <v>127.35</v>
      </c>
      <c r="M74" s="21">
        <f t="shared" si="13"/>
        <v>551.85</v>
      </c>
      <c r="N74">
        <v>16980</v>
      </c>
    </row>
    <row r="75" spans="1:14">
      <c r="A75" s="12">
        <v>5132724701</v>
      </c>
      <c r="B75" s="13">
        <v>2478</v>
      </c>
      <c r="C75" s="12" t="s">
        <v>82</v>
      </c>
      <c r="D75" s="12">
        <v>20</v>
      </c>
      <c r="E75" s="12">
        <v>11233</v>
      </c>
      <c r="F75" s="14">
        <f t="shared" si="7"/>
        <v>84.247500000000002</v>
      </c>
      <c r="G75" s="14">
        <f t="shared" si="8"/>
        <v>2.7380437500000001</v>
      </c>
      <c r="H75" s="12">
        <v>478</v>
      </c>
      <c r="I75" s="14">
        <f t="shared" si="9"/>
        <v>3.585</v>
      </c>
      <c r="J75" s="14">
        <f t="shared" si="10"/>
        <v>15.535</v>
      </c>
      <c r="K75" s="12">
        <f t="shared" si="11"/>
        <v>11711</v>
      </c>
      <c r="L75" s="21">
        <f t="shared" si="12"/>
        <v>87.832499999999996</v>
      </c>
      <c r="M75" s="21">
        <f t="shared" si="13"/>
        <v>380.60750000000002</v>
      </c>
      <c r="N75">
        <v>11711</v>
      </c>
    </row>
    <row r="76" spans="1:14">
      <c r="A76" s="12">
        <v>5138044411</v>
      </c>
      <c r="B76" s="13">
        <v>2477</v>
      </c>
      <c r="C76" s="12" t="s">
        <v>83</v>
      </c>
      <c r="D76" s="12">
        <v>30</v>
      </c>
      <c r="E76" s="12">
        <v>16848</v>
      </c>
      <c r="F76" s="14">
        <f t="shared" si="7"/>
        <v>126.36</v>
      </c>
      <c r="G76" s="14">
        <f t="shared" si="8"/>
        <v>4.1067</v>
      </c>
      <c r="H76" s="12">
        <v>609</v>
      </c>
      <c r="I76" s="14">
        <f t="shared" si="9"/>
        <v>4.5674999999999999</v>
      </c>
      <c r="J76" s="14">
        <f t="shared" si="10"/>
        <v>19.7925</v>
      </c>
      <c r="K76" s="12">
        <f t="shared" si="11"/>
        <v>17457</v>
      </c>
      <c r="L76" s="21">
        <f t="shared" si="12"/>
        <v>130.92750000000001</v>
      </c>
      <c r="M76" s="21">
        <f t="shared" si="13"/>
        <v>567.35249999999996</v>
      </c>
      <c r="N76">
        <v>17457</v>
      </c>
    </row>
    <row r="77" spans="1:14">
      <c r="A77" s="12">
        <v>5138050568</v>
      </c>
      <c r="B77" s="13">
        <v>2481</v>
      </c>
      <c r="C77" s="12" t="s">
        <v>84</v>
      </c>
      <c r="D77" s="12">
        <v>22</v>
      </c>
      <c r="E77" s="12">
        <v>12357</v>
      </c>
      <c r="F77" s="14">
        <f t="shared" si="7"/>
        <v>92.677499999999995</v>
      </c>
      <c r="G77" s="14">
        <f t="shared" si="8"/>
        <v>3.0120187499999997</v>
      </c>
      <c r="H77" s="12">
        <v>479</v>
      </c>
      <c r="I77" s="14">
        <f t="shared" si="9"/>
        <v>3.5924999999999998</v>
      </c>
      <c r="J77" s="14">
        <f t="shared" si="10"/>
        <v>15.567500000000001</v>
      </c>
      <c r="K77" s="12">
        <f t="shared" si="11"/>
        <v>12836</v>
      </c>
      <c r="L77" s="21">
        <f t="shared" si="12"/>
        <v>96.27</v>
      </c>
      <c r="M77" s="21">
        <f t="shared" si="13"/>
        <v>417.17</v>
      </c>
      <c r="N77">
        <v>12836</v>
      </c>
    </row>
    <row r="78" spans="1:14">
      <c r="A78" s="12">
        <v>5138063919</v>
      </c>
      <c r="B78" s="13">
        <v>2490</v>
      </c>
      <c r="C78" s="12" t="s">
        <v>85</v>
      </c>
      <c r="D78" s="12">
        <v>22</v>
      </c>
      <c r="E78" s="12">
        <v>12357</v>
      </c>
      <c r="F78" s="14">
        <f t="shared" si="7"/>
        <v>92.677499999999995</v>
      </c>
      <c r="G78" s="14">
        <f t="shared" si="8"/>
        <v>3.0120187499999997</v>
      </c>
      <c r="H78" s="12">
        <v>559</v>
      </c>
      <c r="I78" s="14">
        <f t="shared" si="9"/>
        <v>4.1924999999999999</v>
      </c>
      <c r="J78" s="14">
        <f t="shared" si="10"/>
        <v>18.1675</v>
      </c>
      <c r="K78" s="12">
        <f t="shared" si="11"/>
        <v>12916</v>
      </c>
      <c r="L78" s="21">
        <f t="shared" si="12"/>
        <v>96.87</v>
      </c>
      <c r="M78" s="21">
        <f t="shared" si="13"/>
        <v>419.77</v>
      </c>
      <c r="N78">
        <v>12916</v>
      </c>
    </row>
    <row r="79" spans="1:14">
      <c r="A79" s="12">
        <v>5138063962</v>
      </c>
      <c r="B79" s="13">
        <v>2489</v>
      </c>
      <c r="C79" s="12" t="s">
        <v>86</v>
      </c>
      <c r="D79" s="12">
        <v>21</v>
      </c>
      <c r="E79" s="12">
        <v>11795</v>
      </c>
      <c r="F79" s="14">
        <f t="shared" si="7"/>
        <v>88.462500000000006</v>
      </c>
      <c r="G79" s="14">
        <f t="shared" si="8"/>
        <v>2.8750312500000001</v>
      </c>
      <c r="H79" s="12">
        <v>534</v>
      </c>
      <c r="I79" s="14">
        <f t="shared" si="9"/>
        <v>4.0049999999999999</v>
      </c>
      <c r="J79" s="14">
        <f t="shared" si="10"/>
        <v>17.355</v>
      </c>
      <c r="K79" s="12">
        <f t="shared" si="11"/>
        <v>12329</v>
      </c>
      <c r="L79" s="21">
        <f t="shared" si="12"/>
        <v>92.467500000000001</v>
      </c>
      <c r="M79" s="21">
        <f t="shared" si="13"/>
        <v>400.6925</v>
      </c>
      <c r="N79">
        <v>12329</v>
      </c>
    </row>
    <row r="80" spans="1:14">
      <c r="A80" s="12">
        <v>5136731317</v>
      </c>
      <c r="B80" s="13">
        <v>2495</v>
      </c>
      <c r="C80" s="12" t="s">
        <v>87</v>
      </c>
      <c r="D80" s="12">
        <v>21</v>
      </c>
      <c r="E80" s="12">
        <v>13657</v>
      </c>
      <c r="F80" s="14">
        <f t="shared" si="7"/>
        <v>102.42749999999999</v>
      </c>
      <c r="G80" s="14">
        <f t="shared" si="8"/>
        <v>3.3288937499999998</v>
      </c>
      <c r="H80" s="12">
        <v>425</v>
      </c>
      <c r="I80" s="14">
        <f t="shared" si="9"/>
        <v>3.1875</v>
      </c>
      <c r="J80" s="14">
        <f t="shared" si="10"/>
        <v>13.8125</v>
      </c>
      <c r="K80" s="12">
        <f t="shared" si="11"/>
        <v>14082</v>
      </c>
      <c r="L80" s="21">
        <f t="shared" si="12"/>
        <v>105.61499999999999</v>
      </c>
      <c r="M80" s="21">
        <f t="shared" si="13"/>
        <v>457.66500000000002</v>
      </c>
      <c r="N80">
        <v>14082</v>
      </c>
    </row>
    <row r="81" spans="1:14">
      <c r="A81" s="12">
        <v>5134597432</v>
      </c>
      <c r="B81" s="6">
        <v>2520</v>
      </c>
      <c r="C81" s="12" t="s">
        <v>88</v>
      </c>
      <c r="D81" s="12">
        <v>15</v>
      </c>
      <c r="E81" s="12">
        <v>10021</v>
      </c>
      <c r="F81" s="14">
        <f t="shared" si="7"/>
        <v>75.157499999999999</v>
      </c>
      <c r="G81" s="14">
        <f t="shared" si="8"/>
        <v>2.4426187499999998</v>
      </c>
      <c r="H81" s="12">
        <v>351</v>
      </c>
      <c r="I81" s="14">
        <f t="shared" si="9"/>
        <v>2.6324999999999998</v>
      </c>
      <c r="J81" s="14">
        <f t="shared" si="10"/>
        <v>11.407500000000001</v>
      </c>
      <c r="K81" s="12">
        <f t="shared" si="11"/>
        <v>10372</v>
      </c>
      <c r="L81" s="21">
        <f t="shared" si="12"/>
        <v>77.790000000000006</v>
      </c>
      <c r="M81" s="21">
        <f t="shared" si="13"/>
        <v>337.09</v>
      </c>
      <c r="N81">
        <v>10372</v>
      </c>
    </row>
    <row r="82" spans="1:14">
      <c r="A82" s="12">
        <v>5136127352</v>
      </c>
      <c r="B82" s="6">
        <v>2519</v>
      </c>
      <c r="C82" s="12" t="s">
        <v>89</v>
      </c>
      <c r="D82" s="12">
        <v>18</v>
      </c>
      <c r="E82" s="12">
        <v>12026</v>
      </c>
      <c r="F82" s="14">
        <f t="shared" si="7"/>
        <v>90.194999999999993</v>
      </c>
      <c r="G82" s="14">
        <f t="shared" si="8"/>
        <v>2.9313374999999997</v>
      </c>
      <c r="H82" s="12">
        <v>421</v>
      </c>
      <c r="I82" s="14">
        <f t="shared" si="9"/>
        <v>3.1575000000000002</v>
      </c>
      <c r="J82" s="14">
        <f t="shared" si="10"/>
        <v>13.682499999999999</v>
      </c>
      <c r="K82" s="12">
        <f t="shared" si="11"/>
        <v>12447</v>
      </c>
      <c r="L82" s="21">
        <f t="shared" si="12"/>
        <v>93.352500000000006</v>
      </c>
      <c r="M82" s="21">
        <f t="shared" si="13"/>
        <v>404.52749999999997</v>
      </c>
      <c r="N82">
        <v>12447</v>
      </c>
    </row>
    <row r="83" spans="1:14">
      <c r="A83" s="12">
        <v>5135089596</v>
      </c>
      <c r="B83" s="6">
        <v>2518</v>
      </c>
      <c r="C83" s="12" t="s">
        <v>90</v>
      </c>
      <c r="D83" s="12">
        <v>17</v>
      </c>
      <c r="E83" s="12">
        <v>11357</v>
      </c>
      <c r="F83" s="14">
        <f t="shared" si="7"/>
        <v>85.177499999999995</v>
      </c>
      <c r="G83" s="14">
        <f t="shared" si="8"/>
        <v>2.7682687499999998</v>
      </c>
      <c r="H83" s="12">
        <v>490</v>
      </c>
      <c r="I83" s="14">
        <f t="shared" si="9"/>
        <v>3.6749999999999998</v>
      </c>
      <c r="J83" s="14">
        <f t="shared" si="10"/>
        <v>15.925000000000001</v>
      </c>
      <c r="K83" s="12">
        <f t="shared" si="11"/>
        <v>11847</v>
      </c>
      <c r="L83" s="21">
        <f t="shared" si="12"/>
        <v>88.852500000000006</v>
      </c>
      <c r="M83" s="21">
        <f t="shared" si="13"/>
        <v>385.02749999999997</v>
      </c>
      <c r="N83">
        <v>11847</v>
      </c>
    </row>
    <row r="84" spans="1:14">
      <c r="A84" s="12">
        <v>5131324216</v>
      </c>
      <c r="B84" s="6">
        <v>2517</v>
      </c>
      <c r="C84" s="12" t="s">
        <v>91</v>
      </c>
      <c r="D84" s="12">
        <v>11</v>
      </c>
      <c r="E84" s="12">
        <v>7348</v>
      </c>
      <c r="F84" s="14">
        <f t="shared" si="7"/>
        <v>55.11</v>
      </c>
      <c r="G84" s="14">
        <f t="shared" si="8"/>
        <v>1.791075</v>
      </c>
      <c r="H84" s="12">
        <v>257</v>
      </c>
      <c r="I84" s="14">
        <f t="shared" si="9"/>
        <v>1.9275</v>
      </c>
      <c r="J84" s="14">
        <f t="shared" si="10"/>
        <v>8.3524999999999991</v>
      </c>
      <c r="K84" s="12">
        <f t="shared" si="11"/>
        <v>7605</v>
      </c>
      <c r="L84" s="21">
        <f t="shared" si="12"/>
        <v>57.037500000000001</v>
      </c>
      <c r="M84" s="21">
        <f t="shared" si="13"/>
        <v>247.16249999999999</v>
      </c>
      <c r="N84">
        <v>7605</v>
      </c>
    </row>
    <row r="85" spans="1:14">
      <c r="A85" s="12">
        <v>5610755094</v>
      </c>
      <c r="B85" s="6">
        <v>2511</v>
      </c>
      <c r="C85" s="12" t="s">
        <v>92</v>
      </c>
      <c r="D85" s="12">
        <v>22</v>
      </c>
      <c r="E85" s="12">
        <v>14306</v>
      </c>
      <c r="F85" s="14">
        <f t="shared" si="7"/>
        <v>107.295</v>
      </c>
      <c r="G85" s="14">
        <f t="shared" si="8"/>
        <v>3.4870874999999999</v>
      </c>
      <c r="H85" s="12">
        <v>626</v>
      </c>
      <c r="I85" s="14">
        <f t="shared" si="9"/>
        <v>4.6950000000000003</v>
      </c>
      <c r="J85" s="14">
        <f t="shared" si="10"/>
        <v>20.344999999999999</v>
      </c>
      <c r="K85" s="12">
        <f t="shared" si="11"/>
        <v>14932</v>
      </c>
      <c r="L85" s="21">
        <f t="shared" si="12"/>
        <v>111.99</v>
      </c>
      <c r="M85" s="21">
        <f t="shared" si="13"/>
        <v>485.29</v>
      </c>
      <c r="N85">
        <v>14932</v>
      </c>
    </row>
    <row r="86" spans="1:14">
      <c r="A86" s="12">
        <v>5138149503</v>
      </c>
      <c r="B86" s="6">
        <v>2521</v>
      </c>
      <c r="C86" s="12" t="s">
        <v>93</v>
      </c>
      <c r="D86" s="12">
        <v>20</v>
      </c>
      <c r="E86" s="12">
        <v>11233</v>
      </c>
      <c r="F86" s="14">
        <f t="shared" si="7"/>
        <v>84.247500000000002</v>
      </c>
      <c r="G86" s="14">
        <f t="shared" si="8"/>
        <v>2.7380437500000001</v>
      </c>
      <c r="H86" s="12">
        <v>478</v>
      </c>
      <c r="I86" s="14">
        <f t="shared" si="9"/>
        <v>3.585</v>
      </c>
      <c r="J86" s="14">
        <f t="shared" si="10"/>
        <v>15.535</v>
      </c>
      <c r="K86" s="12">
        <f t="shared" si="11"/>
        <v>11711</v>
      </c>
      <c r="L86" s="21">
        <f t="shared" si="12"/>
        <v>87.832499999999996</v>
      </c>
      <c r="M86" s="21">
        <f t="shared" si="13"/>
        <v>380.60750000000002</v>
      </c>
      <c r="N86">
        <v>11711</v>
      </c>
    </row>
    <row r="87" spans="1:14">
      <c r="A87" s="12">
        <v>5138149529</v>
      </c>
      <c r="B87" s="6">
        <v>2522</v>
      </c>
      <c r="C87" s="12" t="s">
        <v>94</v>
      </c>
      <c r="D87" s="12">
        <v>14</v>
      </c>
      <c r="E87" s="12">
        <v>8857</v>
      </c>
      <c r="F87" s="14">
        <f t="shared" si="7"/>
        <v>66.427499999999995</v>
      </c>
      <c r="G87" s="14">
        <f t="shared" si="8"/>
        <v>2.1588937499999998</v>
      </c>
      <c r="H87" s="12">
        <v>377</v>
      </c>
      <c r="I87" s="14">
        <f t="shared" si="9"/>
        <v>2.8275000000000001</v>
      </c>
      <c r="J87" s="14">
        <f t="shared" si="10"/>
        <v>12.2525</v>
      </c>
      <c r="K87" s="12">
        <f t="shared" si="11"/>
        <v>9234</v>
      </c>
      <c r="L87" s="21">
        <f t="shared" si="12"/>
        <v>69.254999999999995</v>
      </c>
      <c r="M87" s="21">
        <f t="shared" si="13"/>
        <v>300.10500000000002</v>
      </c>
      <c r="N87">
        <v>9234</v>
      </c>
    </row>
    <row r="88" spans="1:14">
      <c r="A88" s="12">
        <v>5132391705</v>
      </c>
      <c r="B88" s="6">
        <v>2524</v>
      </c>
      <c r="C88" s="12" t="s">
        <v>95</v>
      </c>
      <c r="D88" s="12">
        <v>12</v>
      </c>
      <c r="E88" s="12">
        <v>7803</v>
      </c>
      <c r="F88" s="14">
        <f t="shared" si="7"/>
        <v>58.522500000000001</v>
      </c>
      <c r="G88" s="14">
        <f t="shared" si="8"/>
        <v>1.90198125</v>
      </c>
      <c r="H88" s="12">
        <v>332</v>
      </c>
      <c r="I88" s="14">
        <f t="shared" si="9"/>
        <v>2.4900000000000002</v>
      </c>
      <c r="J88" s="14">
        <f t="shared" si="10"/>
        <v>10.79</v>
      </c>
      <c r="K88" s="12">
        <f t="shared" si="11"/>
        <v>8135</v>
      </c>
      <c r="L88" s="21">
        <f t="shared" si="12"/>
        <v>61.012500000000003</v>
      </c>
      <c r="M88" s="21">
        <f t="shared" si="13"/>
        <v>264.38749999999999</v>
      </c>
      <c r="N88">
        <v>8135</v>
      </c>
    </row>
    <row r="89" spans="1:14">
      <c r="A89" s="12">
        <v>5138195677</v>
      </c>
      <c r="B89" s="13">
        <v>2174</v>
      </c>
      <c r="C89" s="15" t="s">
        <v>96</v>
      </c>
      <c r="D89" s="12">
        <v>31</v>
      </c>
      <c r="E89" s="12">
        <v>19650</v>
      </c>
      <c r="F89" s="14">
        <f t="shared" si="7"/>
        <v>147.375</v>
      </c>
      <c r="G89" s="14">
        <f t="shared" si="8"/>
        <v>4.7896875000000003</v>
      </c>
      <c r="H89" s="12">
        <v>759</v>
      </c>
      <c r="I89" s="14">
        <f t="shared" si="9"/>
        <v>5.6924999999999999</v>
      </c>
      <c r="J89" s="14">
        <f t="shared" si="10"/>
        <v>24.6675</v>
      </c>
      <c r="K89" s="12">
        <f>E89+H89</f>
        <v>20409</v>
      </c>
      <c r="L89" s="21">
        <f t="shared" si="12"/>
        <v>153.0675</v>
      </c>
      <c r="M89" s="21">
        <f t="shared" si="13"/>
        <v>663.29250000000002</v>
      </c>
      <c r="N89">
        <v>20409</v>
      </c>
    </row>
    <row r="90" spans="1:14">
      <c r="D90" s="14">
        <f>SUM(D2:D89)</f>
        <v>2375</v>
      </c>
      <c r="E90" s="14">
        <f t="shared" ref="E90:M90" si="14">SUM(E2:E89)</f>
        <v>1461463</v>
      </c>
      <c r="F90" s="18">
        <f t="shared" si="14"/>
        <v>10960.9725</v>
      </c>
      <c r="G90" s="18">
        <f t="shared" si="14"/>
        <v>356.23160624999997</v>
      </c>
      <c r="H90" s="14">
        <f t="shared" si="14"/>
        <v>58395</v>
      </c>
      <c r="I90" s="18">
        <f t="shared" si="14"/>
        <v>437.96250000000003</v>
      </c>
      <c r="J90" s="18">
        <f t="shared" si="14"/>
        <v>1897.8375000000001</v>
      </c>
      <c r="K90" s="14">
        <f t="shared" si="14"/>
        <v>1519858</v>
      </c>
      <c r="L90" s="22">
        <f t="shared" si="14"/>
        <v>11398.935000000007</v>
      </c>
      <c r="M90" s="22">
        <f t="shared" si="14"/>
        <v>49395.384999999987</v>
      </c>
    </row>
    <row r="93" spans="1:14">
      <c r="G93" s="16">
        <f>E90+H90</f>
        <v>1519858</v>
      </c>
      <c r="L93" s="23">
        <v>60841</v>
      </c>
      <c r="M93" s="23">
        <f>L90+M90</f>
        <v>60794.319999999992</v>
      </c>
    </row>
    <row r="94" spans="1:14">
      <c r="G94">
        <f>G93*0.75/100</f>
        <v>11398.934999999999</v>
      </c>
      <c r="L94" s="23">
        <f>11398+88</f>
        <v>11486</v>
      </c>
      <c r="M94" s="23">
        <f>L93-M93</f>
        <v>46.680000000007567</v>
      </c>
    </row>
    <row r="95" spans="1:14">
      <c r="G95">
        <f>G93*3.25/100</f>
        <v>49395.385000000002</v>
      </c>
    </row>
    <row r="96" spans="1:14" ht="22.5">
      <c r="C96" s="24">
        <v>5126107805201</v>
      </c>
      <c r="G96">
        <f>G95+G94</f>
        <v>60794.32</v>
      </c>
    </row>
    <row r="98" spans="7:7">
      <c r="G98">
        <v>8846</v>
      </c>
    </row>
    <row r="99" spans="7:7">
      <c r="G99">
        <f>G96+G98</f>
        <v>69640.320000000007</v>
      </c>
    </row>
  </sheetData>
  <autoFilter ref="A1:E89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1" sqref="C1:C10"/>
    </sheetView>
  </sheetViews>
  <sheetFormatPr defaultRowHeight="15"/>
  <cols>
    <col min="1" max="1" width="11" bestFit="1" customWidth="1"/>
    <col min="2" max="2" width="23.28515625" bestFit="1" customWidth="1"/>
    <col min="3" max="3" width="10.7109375" bestFit="1" customWidth="1"/>
  </cols>
  <sheetData>
    <row r="1" spans="1:3">
      <c r="A1" s="1">
        <v>5135067743</v>
      </c>
      <c r="B1" s="1" t="s">
        <v>97</v>
      </c>
      <c r="C1" s="17">
        <v>46022</v>
      </c>
    </row>
    <row r="2" spans="1:3">
      <c r="A2" s="12">
        <v>5135067796</v>
      </c>
      <c r="B2" s="12" t="s">
        <v>98</v>
      </c>
      <c r="C2" s="17">
        <v>46016</v>
      </c>
    </row>
    <row r="3" spans="1:3">
      <c r="A3" s="12">
        <v>5137067733</v>
      </c>
      <c r="B3" s="12" t="s">
        <v>99</v>
      </c>
      <c r="C3" s="17">
        <v>46000</v>
      </c>
    </row>
    <row r="4" spans="1:3">
      <c r="A4" s="12">
        <v>5136779618</v>
      </c>
      <c r="B4" s="12" t="s">
        <v>100</v>
      </c>
      <c r="C4" s="17">
        <v>46016</v>
      </c>
    </row>
    <row r="5" spans="1:3">
      <c r="A5" s="12">
        <v>5137627389</v>
      </c>
      <c r="B5" s="12" t="s">
        <v>101</v>
      </c>
      <c r="C5" s="17">
        <v>46010</v>
      </c>
    </row>
    <row r="6" spans="1:3">
      <c r="A6" s="12">
        <v>5137632807</v>
      </c>
      <c r="B6" s="12" t="s">
        <v>102</v>
      </c>
      <c r="C6" s="17">
        <v>46016</v>
      </c>
    </row>
    <row r="7" spans="1:3">
      <c r="A7" s="12">
        <v>5137710899</v>
      </c>
      <c r="B7" s="12" t="s">
        <v>103</v>
      </c>
      <c r="C7" s="17">
        <v>45989</v>
      </c>
    </row>
    <row r="8" spans="1:3">
      <c r="A8" s="12">
        <v>5134242601</v>
      </c>
      <c r="B8" s="12" t="s">
        <v>104</v>
      </c>
      <c r="C8" s="17">
        <v>45993</v>
      </c>
    </row>
    <row r="9" spans="1:3">
      <c r="A9" s="12">
        <v>5137807136</v>
      </c>
      <c r="B9" s="12" t="s">
        <v>105</v>
      </c>
      <c r="C9" s="17">
        <v>46016</v>
      </c>
    </row>
    <row r="10" spans="1:3">
      <c r="A10" s="12">
        <v>5132488048</v>
      </c>
      <c r="B10" s="12" t="s">
        <v>106</v>
      </c>
      <c r="C10" s="17">
        <v>45997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0"/>
  <sheetViews>
    <sheetView topLeftCell="A69" workbookViewId="0">
      <selection activeCell="C3" sqref="C3:C90"/>
    </sheetView>
  </sheetViews>
  <sheetFormatPr defaultRowHeight="15"/>
  <cols>
    <col min="1" max="1" width="6.5703125" bestFit="1" customWidth="1"/>
    <col min="2" max="2" width="9.5703125" bestFit="1" customWidth="1"/>
    <col min="3" max="3" width="28.85546875" bestFit="1" customWidth="1"/>
  </cols>
  <sheetData>
    <row r="1" spans="1:3" ht="25.5">
      <c r="A1" s="2" t="s">
        <v>107</v>
      </c>
      <c r="B1" s="3" t="s">
        <v>108</v>
      </c>
      <c r="C1" s="3" t="s">
        <v>109</v>
      </c>
    </row>
    <row r="2" spans="1:3">
      <c r="A2" s="4">
        <v>2</v>
      </c>
      <c r="B2" s="5">
        <v>3</v>
      </c>
      <c r="C2" s="5">
        <v>4</v>
      </c>
    </row>
    <row r="3" spans="1:3">
      <c r="A3" s="6">
        <v>918</v>
      </c>
      <c r="B3" s="7">
        <v>5129553810</v>
      </c>
      <c r="C3" s="7" t="s">
        <v>110</v>
      </c>
    </row>
    <row r="4" spans="1:3">
      <c r="A4" s="6">
        <v>1247</v>
      </c>
      <c r="B4" s="7">
        <v>5132668725</v>
      </c>
      <c r="C4" s="7" t="s">
        <v>10</v>
      </c>
    </row>
    <row r="5" spans="1:3">
      <c r="A5" s="6">
        <v>1485</v>
      </c>
      <c r="B5" s="7">
        <v>5133975964</v>
      </c>
      <c r="C5" s="7" t="s">
        <v>11</v>
      </c>
    </row>
    <row r="6" spans="1:3">
      <c r="A6" s="6">
        <v>1561</v>
      </c>
      <c r="B6" s="7">
        <v>5134393353</v>
      </c>
      <c r="C6" s="7" t="s">
        <v>12</v>
      </c>
    </row>
    <row r="7" spans="1:3">
      <c r="A7" s="6">
        <v>1674</v>
      </c>
      <c r="B7" s="7">
        <v>5134990908</v>
      </c>
      <c r="C7" s="7" t="s">
        <v>15</v>
      </c>
    </row>
    <row r="8" spans="1:3">
      <c r="A8" s="6">
        <v>1677</v>
      </c>
      <c r="B8" s="7">
        <v>5134818062</v>
      </c>
      <c r="C8" s="7" t="s">
        <v>13</v>
      </c>
    </row>
    <row r="9" spans="1:3">
      <c r="A9" s="6">
        <v>1702</v>
      </c>
      <c r="B9" s="7">
        <v>5134990891</v>
      </c>
      <c r="C9" s="7" t="s">
        <v>14</v>
      </c>
    </row>
    <row r="10" spans="1:3">
      <c r="A10" s="6">
        <v>1734</v>
      </c>
      <c r="B10" s="7">
        <v>5135067750</v>
      </c>
      <c r="C10" s="7" t="s">
        <v>16</v>
      </c>
    </row>
    <row r="11" spans="1:3">
      <c r="A11" s="6">
        <v>1753</v>
      </c>
      <c r="B11" s="7">
        <v>5135108200</v>
      </c>
      <c r="C11" s="7" t="s">
        <v>17</v>
      </c>
    </row>
    <row r="12" spans="1:3">
      <c r="A12" s="6">
        <v>1780</v>
      </c>
      <c r="B12" s="7">
        <v>5131380561</v>
      </c>
      <c r="C12" s="7" t="s">
        <v>19</v>
      </c>
    </row>
    <row r="13" spans="1:3">
      <c r="A13" s="6">
        <v>1786</v>
      </c>
      <c r="B13" s="7">
        <v>5131024835</v>
      </c>
      <c r="C13" s="7" t="s">
        <v>20</v>
      </c>
    </row>
    <row r="14" spans="1:3">
      <c r="A14" s="6">
        <v>1791</v>
      </c>
      <c r="B14" s="7">
        <v>5131024856</v>
      </c>
      <c r="C14" s="7" t="s">
        <v>111</v>
      </c>
    </row>
    <row r="15" spans="1:3">
      <c r="A15" s="6">
        <v>1820</v>
      </c>
      <c r="B15" s="7">
        <v>5135414354</v>
      </c>
      <c r="C15" s="7" t="s">
        <v>21</v>
      </c>
    </row>
    <row r="16" spans="1:3">
      <c r="A16" s="6">
        <v>1858</v>
      </c>
      <c r="B16" s="7">
        <v>5134645127</v>
      </c>
      <c r="C16" s="7" t="s">
        <v>23</v>
      </c>
    </row>
    <row r="17" spans="1:3">
      <c r="A17" s="6">
        <v>1855</v>
      </c>
      <c r="B17" s="7">
        <v>6382493369</v>
      </c>
      <c r="C17" s="7" t="s">
        <v>22</v>
      </c>
    </row>
    <row r="18" spans="1:3">
      <c r="A18" s="6">
        <v>1865</v>
      </c>
      <c r="B18" s="7">
        <v>5131685828</v>
      </c>
      <c r="C18" s="7" t="s">
        <v>112</v>
      </c>
    </row>
    <row r="19" spans="1:3">
      <c r="A19" s="6">
        <v>1892</v>
      </c>
      <c r="B19" s="7">
        <v>5135658011</v>
      </c>
      <c r="C19" s="7" t="s">
        <v>113</v>
      </c>
    </row>
    <row r="20" spans="1:3">
      <c r="A20" s="6">
        <v>1925</v>
      </c>
      <c r="B20" s="7">
        <v>5135676825</v>
      </c>
      <c r="C20" s="7" t="s">
        <v>114</v>
      </c>
    </row>
    <row r="21" spans="1:3">
      <c r="A21" s="6">
        <v>1938</v>
      </c>
      <c r="B21" s="7">
        <v>5135768062</v>
      </c>
      <c r="C21" s="7" t="s">
        <v>115</v>
      </c>
    </row>
    <row r="22" spans="1:3">
      <c r="A22" s="6">
        <v>1955</v>
      </c>
      <c r="B22" s="7">
        <v>6382699189</v>
      </c>
      <c r="C22" s="7" t="s">
        <v>116</v>
      </c>
    </row>
    <row r="23" spans="1:3">
      <c r="A23" s="6">
        <v>1983</v>
      </c>
      <c r="B23" s="7">
        <v>5137796315</v>
      </c>
      <c r="C23" s="7" t="s">
        <v>117</v>
      </c>
    </row>
    <row r="24" spans="1:3">
      <c r="A24" s="6">
        <v>1995</v>
      </c>
      <c r="B24" s="7">
        <v>5135996498</v>
      </c>
      <c r="C24" s="7" t="s">
        <v>29</v>
      </c>
    </row>
    <row r="25" spans="1:3">
      <c r="A25" s="6">
        <v>2034</v>
      </c>
      <c r="B25" s="7">
        <v>5136026445</v>
      </c>
      <c r="C25" s="7" t="s">
        <v>118</v>
      </c>
    </row>
    <row r="26" spans="1:3">
      <c r="A26" s="6">
        <v>2038</v>
      </c>
      <c r="B26" s="7">
        <v>5134628289</v>
      </c>
      <c r="C26" s="7" t="s">
        <v>119</v>
      </c>
    </row>
    <row r="27" spans="1:3">
      <c r="A27" s="6">
        <v>2056</v>
      </c>
      <c r="B27" s="7">
        <v>5136139551</v>
      </c>
      <c r="C27" s="7" t="s">
        <v>120</v>
      </c>
    </row>
    <row r="28" spans="1:3">
      <c r="A28" s="6">
        <v>2075</v>
      </c>
      <c r="B28" s="7">
        <v>5136165018</v>
      </c>
      <c r="C28" s="7" t="s">
        <v>34</v>
      </c>
    </row>
    <row r="29" spans="1:3">
      <c r="A29" s="6">
        <v>2088</v>
      </c>
      <c r="B29" s="7">
        <v>5136244497</v>
      </c>
      <c r="C29" s="7" t="s">
        <v>121</v>
      </c>
    </row>
    <row r="30" spans="1:3">
      <c r="A30" s="6">
        <v>2094</v>
      </c>
      <c r="B30" s="7">
        <v>5131552282</v>
      </c>
      <c r="C30" s="7" t="s">
        <v>36</v>
      </c>
    </row>
    <row r="31" spans="1:3">
      <c r="A31" s="6">
        <v>2106</v>
      </c>
      <c r="B31" s="7">
        <v>5127502401</v>
      </c>
      <c r="C31" s="7" t="s">
        <v>122</v>
      </c>
    </row>
    <row r="32" spans="1:3">
      <c r="A32" s="6">
        <v>2166</v>
      </c>
      <c r="B32" s="7">
        <v>5136849788</v>
      </c>
      <c r="C32" s="7" t="s">
        <v>123</v>
      </c>
    </row>
    <row r="33" spans="1:3">
      <c r="A33" s="6">
        <v>2171</v>
      </c>
      <c r="B33" s="7">
        <v>5136920022</v>
      </c>
      <c r="C33" s="7" t="s">
        <v>40</v>
      </c>
    </row>
    <row r="34" spans="1:3">
      <c r="A34" s="6">
        <v>2174</v>
      </c>
      <c r="B34" s="7"/>
      <c r="C34" s="7" t="s">
        <v>96</v>
      </c>
    </row>
    <row r="35" spans="1:3">
      <c r="A35" s="6">
        <v>2179</v>
      </c>
      <c r="B35" s="7">
        <v>5136919972</v>
      </c>
      <c r="C35" s="7" t="s">
        <v>124</v>
      </c>
    </row>
    <row r="36" spans="1:3">
      <c r="A36" s="6">
        <v>2205</v>
      </c>
      <c r="B36" s="7">
        <v>5133995652</v>
      </c>
      <c r="C36" s="7" t="s">
        <v>41</v>
      </c>
    </row>
    <row r="37" spans="1:3">
      <c r="A37" s="6">
        <v>2244</v>
      </c>
      <c r="B37" s="7">
        <v>5137114792</v>
      </c>
      <c r="C37" s="7" t="s">
        <v>125</v>
      </c>
    </row>
    <row r="38" spans="1:3">
      <c r="A38" s="6">
        <v>2249</v>
      </c>
      <c r="B38" s="7">
        <v>5137159406</v>
      </c>
      <c r="C38" s="7" t="s">
        <v>126</v>
      </c>
    </row>
    <row r="39" spans="1:3">
      <c r="A39" s="6">
        <v>2250</v>
      </c>
      <c r="B39" s="7">
        <v>5137159518</v>
      </c>
      <c r="C39" s="7" t="s">
        <v>44</v>
      </c>
    </row>
    <row r="40" spans="1:3">
      <c r="A40" s="6">
        <v>2261</v>
      </c>
      <c r="B40" s="7">
        <v>5128867613</v>
      </c>
      <c r="C40" s="7" t="s">
        <v>45</v>
      </c>
    </row>
    <row r="41" spans="1:3">
      <c r="A41" s="6">
        <v>2269</v>
      </c>
      <c r="B41" s="7">
        <v>5137172676</v>
      </c>
      <c r="C41" s="7" t="s">
        <v>46</v>
      </c>
    </row>
    <row r="42" spans="1:3">
      <c r="A42" s="6">
        <v>2301</v>
      </c>
      <c r="B42" s="7">
        <v>5137368193</v>
      </c>
      <c r="C42" s="7" t="s">
        <v>127</v>
      </c>
    </row>
    <row r="43" spans="1:3">
      <c r="A43" s="6">
        <v>2307</v>
      </c>
      <c r="B43" s="7">
        <v>5137368022</v>
      </c>
      <c r="C43" s="7" t="s">
        <v>48</v>
      </c>
    </row>
    <row r="44" spans="1:3">
      <c r="A44" s="6">
        <v>2308</v>
      </c>
      <c r="B44" s="7">
        <v>5137367980</v>
      </c>
      <c r="C44" s="7" t="s">
        <v>47</v>
      </c>
    </row>
    <row r="45" spans="1:3">
      <c r="A45" s="6">
        <v>2313</v>
      </c>
      <c r="B45" s="7">
        <v>5137411793</v>
      </c>
      <c r="C45" s="7" t="s">
        <v>128</v>
      </c>
    </row>
    <row r="46" spans="1:3">
      <c r="A46" s="6">
        <v>2321</v>
      </c>
      <c r="B46" s="7">
        <v>5137488186</v>
      </c>
      <c r="C46" s="7" t="s">
        <v>52</v>
      </c>
    </row>
    <row r="47" spans="1:3">
      <c r="A47" s="6">
        <v>2328</v>
      </c>
      <c r="B47" s="7">
        <v>5137494237</v>
      </c>
      <c r="C47" s="7" t="s">
        <v>55</v>
      </c>
    </row>
    <row r="48" spans="1:3">
      <c r="A48" s="6">
        <v>2324</v>
      </c>
      <c r="B48" s="7">
        <v>5137493296</v>
      </c>
      <c r="C48" s="7" t="s">
        <v>54</v>
      </c>
    </row>
    <row r="49" spans="1:3">
      <c r="A49" s="6">
        <v>2325</v>
      </c>
      <c r="B49" s="7">
        <v>5137488350</v>
      </c>
      <c r="C49" s="7" t="s">
        <v>53</v>
      </c>
    </row>
    <row r="50" spans="1:3">
      <c r="A50" s="6">
        <v>2341</v>
      </c>
      <c r="B50" s="7">
        <v>5137527155</v>
      </c>
      <c r="C50" s="7" t="s">
        <v>57</v>
      </c>
    </row>
    <row r="51" spans="1:3">
      <c r="A51" s="6">
        <v>2355</v>
      </c>
      <c r="B51" s="7">
        <v>5137614014</v>
      </c>
      <c r="C51" s="7" t="s">
        <v>62</v>
      </c>
    </row>
    <row r="52" spans="1:3">
      <c r="A52" s="6">
        <v>2360</v>
      </c>
      <c r="B52" s="7">
        <v>5137606609</v>
      </c>
      <c r="C52" s="7" t="s">
        <v>61</v>
      </c>
    </row>
    <row r="53" spans="1:3">
      <c r="A53" s="6">
        <v>2362</v>
      </c>
      <c r="B53" s="7">
        <v>5137606360</v>
      </c>
      <c r="C53" s="7" t="s">
        <v>129</v>
      </c>
    </row>
    <row r="54" spans="1:3">
      <c r="A54" s="6">
        <v>2367</v>
      </c>
      <c r="B54" s="7">
        <v>5129467873</v>
      </c>
      <c r="C54" s="7" t="s">
        <v>60</v>
      </c>
    </row>
    <row r="55" spans="1:3">
      <c r="A55" s="6">
        <v>2364</v>
      </c>
      <c r="B55" s="7">
        <v>5137635009</v>
      </c>
      <c r="C55" s="7" t="s">
        <v>130</v>
      </c>
    </row>
    <row r="56" spans="1:3">
      <c r="A56" s="6">
        <v>2376</v>
      </c>
      <c r="B56" s="7">
        <v>5135485792</v>
      </c>
      <c r="C56" s="7" t="s">
        <v>131</v>
      </c>
    </row>
    <row r="57" spans="1:3">
      <c r="A57" s="6">
        <v>2380</v>
      </c>
      <c r="B57" s="7">
        <v>5137635527</v>
      </c>
      <c r="C57" s="7" t="s">
        <v>65</v>
      </c>
    </row>
    <row r="58" spans="1:3">
      <c r="A58" s="6">
        <v>2383</v>
      </c>
      <c r="B58" s="7">
        <v>5703074414</v>
      </c>
      <c r="C58" s="7" t="s">
        <v>68</v>
      </c>
    </row>
    <row r="59" spans="1:3">
      <c r="A59" s="6">
        <v>2405</v>
      </c>
      <c r="B59" s="7">
        <v>5137713623</v>
      </c>
      <c r="C59" s="7" t="s">
        <v>66</v>
      </c>
    </row>
    <row r="60" spans="1:3">
      <c r="A60" s="6">
        <v>2409</v>
      </c>
      <c r="B60" s="7">
        <v>5137718258</v>
      </c>
      <c r="C60" s="7" t="s">
        <v>67</v>
      </c>
    </row>
    <row r="61" spans="1:3">
      <c r="A61" s="6">
        <v>2412</v>
      </c>
      <c r="B61" s="7">
        <v>5137729337</v>
      </c>
      <c r="C61" s="7" t="s">
        <v>69</v>
      </c>
    </row>
    <row r="62" spans="1:3">
      <c r="A62" s="6">
        <v>2430</v>
      </c>
      <c r="B62" s="7">
        <v>5137807088</v>
      </c>
      <c r="C62" s="7" t="s">
        <v>132</v>
      </c>
    </row>
    <row r="63" spans="1:3">
      <c r="A63" s="6">
        <v>2441</v>
      </c>
      <c r="B63" s="7">
        <v>5135305350</v>
      </c>
      <c r="C63" s="7" t="s">
        <v>72</v>
      </c>
    </row>
    <row r="64" spans="1:3">
      <c r="A64" s="6">
        <v>2446</v>
      </c>
      <c r="B64" s="7">
        <v>5137893532</v>
      </c>
      <c r="C64" s="7" t="s">
        <v>133</v>
      </c>
    </row>
    <row r="65" spans="1:3">
      <c r="A65" s="6">
        <v>2447</v>
      </c>
      <c r="B65" s="7">
        <v>5137893872</v>
      </c>
      <c r="C65" s="7" t="s">
        <v>75</v>
      </c>
    </row>
    <row r="66" spans="1:3">
      <c r="A66" s="6">
        <v>2454</v>
      </c>
      <c r="B66" s="7">
        <v>5133455014</v>
      </c>
      <c r="C66" s="7" t="s">
        <v>134</v>
      </c>
    </row>
    <row r="67" spans="1:3">
      <c r="A67" s="6">
        <v>2457</v>
      </c>
      <c r="B67" s="7">
        <v>5137920552</v>
      </c>
      <c r="C67" s="7" t="s">
        <v>77</v>
      </c>
    </row>
    <row r="68" spans="1:3">
      <c r="A68" s="6">
        <v>2462</v>
      </c>
      <c r="B68" s="7">
        <v>5137952258</v>
      </c>
      <c r="C68" s="7" t="s">
        <v>79</v>
      </c>
    </row>
    <row r="69" spans="1:3">
      <c r="A69" s="6">
        <v>2463</v>
      </c>
      <c r="B69" s="7">
        <v>5137943760</v>
      </c>
      <c r="C69" s="7" t="s">
        <v>135</v>
      </c>
    </row>
    <row r="70" spans="1:3">
      <c r="A70" s="6">
        <v>2466</v>
      </c>
      <c r="B70" s="7">
        <v>5137975151</v>
      </c>
      <c r="C70" s="7" t="s">
        <v>136</v>
      </c>
    </row>
    <row r="71" spans="1:3">
      <c r="A71" s="6">
        <v>2473</v>
      </c>
      <c r="B71" s="7">
        <v>5138020115</v>
      </c>
      <c r="C71" s="7" t="s">
        <v>81</v>
      </c>
    </row>
    <row r="72" spans="1:3">
      <c r="A72" s="6">
        <v>2477</v>
      </c>
      <c r="B72" s="7">
        <v>5138044411</v>
      </c>
      <c r="C72" s="7" t="s">
        <v>83</v>
      </c>
    </row>
    <row r="73" spans="1:3">
      <c r="A73" s="6">
        <v>2478</v>
      </c>
      <c r="B73" s="7">
        <v>5132724701</v>
      </c>
      <c r="C73" s="7" t="s">
        <v>82</v>
      </c>
    </row>
    <row r="74" spans="1:3">
      <c r="A74" s="6">
        <v>2481</v>
      </c>
      <c r="B74" s="7">
        <v>5138050568</v>
      </c>
      <c r="C74" s="7" t="s">
        <v>137</v>
      </c>
    </row>
    <row r="75" spans="1:3">
      <c r="A75" s="6">
        <v>2489</v>
      </c>
      <c r="B75" s="7">
        <v>5138063962</v>
      </c>
      <c r="C75" s="7" t="s">
        <v>86</v>
      </c>
    </row>
    <row r="76" spans="1:3">
      <c r="A76" s="6">
        <v>2490</v>
      </c>
      <c r="B76" s="7">
        <v>5138063919</v>
      </c>
      <c r="C76" s="7" t="s">
        <v>85</v>
      </c>
    </row>
    <row r="77" spans="1:3">
      <c r="A77" s="6">
        <v>2495</v>
      </c>
      <c r="B77" s="7">
        <v>5136731317</v>
      </c>
      <c r="C77" s="7" t="s">
        <v>138</v>
      </c>
    </row>
    <row r="78" spans="1:3">
      <c r="A78" s="6">
        <v>2053</v>
      </c>
      <c r="B78" s="7">
        <v>5135809393</v>
      </c>
      <c r="C78" s="7" t="s">
        <v>139</v>
      </c>
    </row>
    <row r="79" spans="1:3">
      <c r="A79" s="6">
        <v>2339</v>
      </c>
      <c r="B79" s="7">
        <v>5137498733</v>
      </c>
      <c r="C79" s="7" t="s">
        <v>56</v>
      </c>
    </row>
    <row r="80" spans="1:3">
      <c r="A80" s="6">
        <v>2354</v>
      </c>
      <c r="B80" s="7">
        <v>5134021508</v>
      </c>
      <c r="C80" s="7" t="s">
        <v>140</v>
      </c>
    </row>
    <row r="81" spans="1:3">
      <c r="A81" s="6">
        <v>2452</v>
      </c>
      <c r="B81" s="7">
        <v>5133110820</v>
      </c>
      <c r="C81" s="7" t="s">
        <v>141</v>
      </c>
    </row>
    <row r="82" spans="1:3">
      <c r="A82" s="6">
        <v>2511</v>
      </c>
      <c r="B82" s="7">
        <v>5610755094</v>
      </c>
      <c r="C82" s="7" t="s">
        <v>92</v>
      </c>
    </row>
    <row r="83" spans="1:3">
      <c r="A83" s="6">
        <v>2517</v>
      </c>
      <c r="B83" s="7">
        <v>5131324216</v>
      </c>
      <c r="C83" s="7" t="s">
        <v>142</v>
      </c>
    </row>
    <row r="84" spans="1:3">
      <c r="A84" s="6">
        <v>2518</v>
      </c>
      <c r="B84" s="7">
        <v>5135089596</v>
      </c>
      <c r="C84" s="7" t="s">
        <v>143</v>
      </c>
    </row>
    <row r="85" spans="1:3">
      <c r="A85" s="6">
        <v>2519</v>
      </c>
      <c r="B85" s="7">
        <v>5136127352</v>
      </c>
      <c r="C85" s="7" t="s">
        <v>89</v>
      </c>
    </row>
    <row r="86" spans="1:3">
      <c r="A86" s="6">
        <v>2520</v>
      </c>
      <c r="B86" s="7">
        <v>5134597432</v>
      </c>
      <c r="C86" s="7" t="s">
        <v>88</v>
      </c>
    </row>
    <row r="87" spans="1:3">
      <c r="A87" s="6">
        <v>2521</v>
      </c>
      <c r="B87" s="7">
        <v>5138149503</v>
      </c>
      <c r="C87" s="7" t="s">
        <v>93</v>
      </c>
    </row>
    <row r="88" spans="1:3">
      <c r="A88" s="6">
        <v>2522</v>
      </c>
      <c r="B88" s="7">
        <v>5138149529</v>
      </c>
      <c r="C88" s="7" t="s">
        <v>144</v>
      </c>
    </row>
    <row r="89" spans="1:3">
      <c r="A89" s="6">
        <v>2524</v>
      </c>
      <c r="B89" s="7">
        <v>5132391705</v>
      </c>
      <c r="C89" s="7" t="s">
        <v>145</v>
      </c>
    </row>
    <row r="90" spans="1:3">
      <c r="A90" s="6">
        <v>2323</v>
      </c>
      <c r="B90" s="7">
        <v>5137487867</v>
      </c>
      <c r="C90" s="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Akshya[SUKI SOFTWARE]</cp:lastModifiedBy>
  <cp:revision/>
  <dcterms:created xsi:type="dcterms:W3CDTF">2015-06-05T18:17:20Z</dcterms:created>
  <dcterms:modified xsi:type="dcterms:W3CDTF">2026-03-27T10:32:22Z</dcterms:modified>
  <cp:category/>
  <cp:contentStatus/>
</cp:coreProperties>
</file>